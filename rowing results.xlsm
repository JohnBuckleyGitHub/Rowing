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hns Lenovo\Documents\GitHub\Rowing\"/>
    </mc:Choice>
  </mc:AlternateContent>
  <bookViews>
    <workbookView xWindow="0" yWindow="0" windowWidth="14370" windowHeight="6330" activeTab="3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Coppel" sheetId="7" r:id="rId7"/>
  </sheets>
  <functionGroups builtInGroupCount="18"/>
  <definedNames>
    <definedName name="AeroData" localSheetId="2">Sheet3!$D$30:$L$52</definedName>
    <definedName name="TableData" localSheetId="6">Coppel!$A$10:$F$82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54" i="4" l="1"/>
  <c r="N77" i="4"/>
  <c r="L78" i="4" s="1"/>
  <c r="O80" i="4"/>
  <c r="P75" i="4"/>
  <c r="E75" i="4"/>
  <c r="G75" i="4" s="1"/>
  <c r="P74" i="4"/>
  <c r="E74" i="4"/>
  <c r="P73" i="4"/>
  <c r="E73" i="4"/>
  <c r="G73" i="4" s="1"/>
  <c r="P72" i="4"/>
  <c r="E72" i="4"/>
  <c r="P71" i="4"/>
  <c r="E71" i="4"/>
  <c r="G71" i="4" s="1"/>
  <c r="P70" i="4"/>
  <c r="E70" i="4"/>
  <c r="P69" i="4"/>
  <c r="E69" i="4"/>
  <c r="G69" i="4" s="1"/>
  <c r="P68" i="4"/>
  <c r="E68" i="4"/>
  <c r="P67" i="4"/>
  <c r="E67" i="4"/>
  <c r="G67" i="4" s="1"/>
  <c r="P66" i="4"/>
  <c r="F66" i="4"/>
  <c r="H66" i="4" s="1"/>
  <c r="I66" i="4" s="1"/>
  <c r="J66" i="4" s="1"/>
  <c r="E66" i="4"/>
  <c r="G66" i="4" s="1"/>
  <c r="P65" i="4"/>
  <c r="E65" i="4"/>
  <c r="G65" i="4" s="1"/>
  <c r="P64" i="4"/>
  <c r="E64" i="4"/>
  <c r="G64" i="4" s="1"/>
  <c r="P63" i="4"/>
  <c r="E63" i="4"/>
  <c r="G63" i="4" s="1"/>
  <c r="P62" i="4"/>
  <c r="F62" i="4"/>
  <c r="H62" i="4" s="1"/>
  <c r="I62" i="4" s="1"/>
  <c r="J62" i="4" s="1"/>
  <c r="E62" i="4"/>
  <c r="G62" i="4" s="1"/>
  <c r="P61" i="4"/>
  <c r="E61" i="4"/>
  <c r="G61" i="4" s="1"/>
  <c r="P60" i="4"/>
  <c r="E60" i="4"/>
  <c r="G60" i="4" s="1"/>
  <c r="P59" i="4"/>
  <c r="E59" i="4"/>
  <c r="G59" i="4" s="1"/>
  <c r="P58" i="4"/>
  <c r="F58" i="4"/>
  <c r="H58" i="4" s="1"/>
  <c r="I58" i="4" s="1"/>
  <c r="J58" i="4" s="1"/>
  <c r="E58" i="4"/>
  <c r="G58" i="4" s="1"/>
  <c r="P57" i="4"/>
  <c r="E57" i="4"/>
  <c r="G57" i="4" s="1"/>
  <c r="P56" i="4"/>
  <c r="E56" i="4"/>
  <c r="G56" i="4" s="1"/>
  <c r="P55" i="4"/>
  <c r="E55" i="4"/>
  <c r="G55" i="4" s="1"/>
  <c r="P54" i="4"/>
  <c r="E54" i="4"/>
  <c r="G54" i="4" s="1"/>
  <c r="K2" i="4"/>
  <c r="P51" i="4"/>
  <c r="E51" i="4"/>
  <c r="G51" i="4" s="1"/>
  <c r="P50" i="4"/>
  <c r="E50" i="4"/>
  <c r="G50" i="4" s="1"/>
  <c r="P49" i="4"/>
  <c r="E49" i="4"/>
  <c r="G49" i="4" s="1"/>
  <c r="P48" i="4"/>
  <c r="E48" i="4"/>
  <c r="G48" i="4" s="1"/>
  <c r="P47" i="4"/>
  <c r="E47" i="4"/>
  <c r="G47" i="4" s="1"/>
  <c r="P46" i="4"/>
  <c r="E46" i="4"/>
  <c r="F46" i="4" s="1"/>
  <c r="H46" i="4" s="1"/>
  <c r="P45" i="4"/>
  <c r="E45" i="4"/>
  <c r="G45" i="4" s="1"/>
  <c r="P44" i="4"/>
  <c r="E44" i="4"/>
  <c r="G44" i="4" s="1"/>
  <c r="P43" i="4"/>
  <c r="E43" i="4"/>
  <c r="G43" i="4" s="1"/>
  <c r="P42" i="4"/>
  <c r="E42" i="4"/>
  <c r="P41" i="4"/>
  <c r="E41" i="4"/>
  <c r="G41" i="4" s="1"/>
  <c r="P40" i="4"/>
  <c r="E40" i="4"/>
  <c r="P39" i="4"/>
  <c r="E39" i="4"/>
  <c r="G39" i="4" s="1"/>
  <c r="P38" i="4"/>
  <c r="E38" i="4"/>
  <c r="P37" i="4"/>
  <c r="E37" i="4"/>
  <c r="G37" i="4" s="1"/>
  <c r="P36" i="4"/>
  <c r="E36" i="4"/>
  <c r="P35" i="4"/>
  <c r="E35" i="4"/>
  <c r="G35" i="4" s="1"/>
  <c r="P34" i="4"/>
  <c r="E34" i="4"/>
  <c r="P33" i="4"/>
  <c r="E33" i="4"/>
  <c r="G33" i="4" s="1"/>
  <c r="P32" i="4"/>
  <c r="E32" i="4"/>
  <c r="P31" i="4"/>
  <c r="E31" i="4"/>
  <c r="G31" i="4" s="1"/>
  <c r="P30" i="4"/>
  <c r="E30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5" i="4"/>
  <c r="E7" i="4"/>
  <c r="G7" i="4" s="1"/>
  <c r="E6" i="4"/>
  <c r="G6" i="4" s="1"/>
  <c r="E5" i="4"/>
  <c r="G5" i="4" s="1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F37" i="7" s="1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A10" i="7"/>
  <c r="C10" i="7" s="1"/>
  <c r="A11" i="7"/>
  <c r="C11" i="7" s="1"/>
  <c r="A12" i="7"/>
  <c r="F12" i="7" s="1"/>
  <c r="C12" i="7"/>
  <c r="A13" i="7"/>
  <c r="C13" i="7" s="1"/>
  <c r="A14" i="7"/>
  <c r="C14" i="7"/>
  <c r="A15" i="7"/>
  <c r="C15" i="7" s="1"/>
  <c r="A16" i="7"/>
  <c r="A17" i="7"/>
  <c r="A18" i="7"/>
  <c r="C18" i="7" s="1"/>
  <c r="A19" i="7"/>
  <c r="C19" i="7"/>
  <c r="A20" i="7"/>
  <c r="A21" i="7"/>
  <c r="C21" i="7" s="1"/>
  <c r="F21" i="7" s="1"/>
  <c r="A22" i="7"/>
  <c r="C22" i="7" s="1"/>
  <c r="A23" i="7"/>
  <c r="C23" i="7" s="1"/>
  <c r="A24" i="7"/>
  <c r="C24" i="7"/>
  <c r="A25" i="7"/>
  <c r="A26" i="7"/>
  <c r="C26" i="7" s="1"/>
  <c r="A27" i="7"/>
  <c r="A28" i="7"/>
  <c r="C28" i="7"/>
  <c r="F28" i="7" s="1"/>
  <c r="A29" i="7"/>
  <c r="C29" i="7" s="1"/>
  <c r="A30" i="7"/>
  <c r="A31" i="7"/>
  <c r="C31" i="7" s="1"/>
  <c r="A32" i="7"/>
  <c r="A33" i="7"/>
  <c r="C33" i="7"/>
  <c r="F33" i="7" s="1"/>
  <c r="A34" i="7"/>
  <c r="C34" i="7" s="1"/>
  <c r="A35" i="7"/>
  <c r="A36" i="7"/>
  <c r="C36" i="7" s="1"/>
  <c r="A37" i="7"/>
  <c r="C37" i="7" s="1"/>
  <c r="A38" i="7"/>
  <c r="C38" i="7"/>
  <c r="A39" i="7"/>
  <c r="C39" i="7" s="1"/>
  <c r="A40" i="7"/>
  <c r="C40" i="7"/>
  <c r="E40" i="7" s="1"/>
  <c r="A41" i="7"/>
  <c r="A42" i="7"/>
  <c r="C42" i="7" s="1"/>
  <c r="A43" i="7"/>
  <c r="A44" i="7"/>
  <c r="C44" i="7" s="1"/>
  <c r="A45" i="7"/>
  <c r="C45" i="7" s="1"/>
  <c r="A46" i="7"/>
  <c r="C46" i="7" s="1"/>
  <c r="A47" i="7"/>
  <c r="C47" i="7" s="1"/>
  <c r="A48" i="7"/>
  <c r="C48" i="7"/>
  <c r="A49" i="7"/>
  <c r="C49" i="7" s="1"/>
  <c r="A50" i="7"/>
  <c r="C50" i="7" s="1"/>
  <c r="A51" i="7"/>
  <c r="C51" i="7" s="1"/>
  <c r="A52" i="7"/>
  <c r="F52" i="7" s="1"/>
  <c r="C52" i="7"/>
  <c r="A53" i="7"/>
  <c r="C53" i="7" s="1"/>
  <c r="A54" i="7"/>
  <c r="C54" i="7" s="1"/>
  <c r="A55" i="7"/>
  <c r="C55" i="7" s="1"/>
  <c r="A56" i="7"/>
  <c r="C56" i="7" s="1"/>
  <c r="A57" i="7"/>
  <c r="C57" i="7"/>
  <c r="A58" i="7"/>
  <c r="C58" i="7" s="1"/>
  <c r="A59" i="7"/>
  <c r="C59" i="7" s="1"/>
  <c r="A60" i="7"/>
  <c r="C60" i="7" s="1"/>
  <c r="A61" i="7"/>
  <c r="C61" i="7"/>
  <c r="A62" i="7"/>
  <c r="A63" i="7"/>
  <c r="C63" i="7" s="1"/>
  <c r="A67" i="7"/>
  <c r="A68" i="7"/>
  <c r="A69" i="7"/>
  <c r="A70" i="7"/>
  <c r="A71" i="7"/>
  <c r="A72" i="7"/>
  <c r="C72" i="7" s="1"/>
  <c r="A73" i="7"/>
  <c r="C73" i="7" s="1"/>
  <c r="A74" i="7"/>
  <c r="C74" i="7" s="1"/>
  <c r="A75" i="7"/>
  <c r="C75" i="7" s="1"/>
  <c r="A76" i="7"/>
  <c r="C76" i="7" s="1"/>
  <c r="A77" i="7"/>
  <c r="C77" i="7" s="1"/>
  <c r="A78" i="7"/>
  <c r="A79" i="7"/>
  <c r="A80" i="7"/>
  <c r="C80" i="7" s="1"/>
  <c r="A81" i="7"/>
  <c r="C81" i="7" s="1"/>
  <c r="A82" i="7"/>
  <c r="C82" i="7" s="1"/>
  <c r="C67" i="7"/>
  <c r="C68" i="7"/>
  <c r="C69" i="7"/>
  <c r="C79" i="7"/>
  <c r="A66" i="7"/>
  <c r="A65" i="7"/>
  <c r="A64" i="7"/>
  <c r="D48" i="6"/>
  <c r="C48" i="6"/>
  <c r="A48" i="6"/>
  <c r="A47" i="6"/>
  <c r="D47" i="6" s="1"/>
  <c r="D46" i="6"/>
  <c r="C46" i="6"/>
  <c r="A46" i="6"/>
  <c r="D45" i="6"/>
  <c r="A45" i="6"/>
  <c r="C45" i="6" s="1"/>
  <c r="A44" i="6"/>
  <c r="D44" i="6" s="1"/>
  <c r="D43" i="6"/>
  <c r="A43" i="6"/>
  <c r="C43" i="6" s="1"/>
  <c r="A42" i="6"/>
  <c r="D42" i="6" s="1"/>
  <c r="A41" i="6"/>
  <c r="D41" i="6" s="1"/>
  <c r="D40" i="6"/>
  <c r="C40" i="6"/>
  <c r="A40" i="6"/>
  <c r="A39" i="6"/>
  <c r="D39" i="6" s="1"/>
  <c r="A38" i="6"/>
  <c r="D38" i="6" s="1"/>
  <c r="A37" i="6"/>
  <c r="C37" i="6" s="1"/>
  <c r="A36" i="6"/>
  <c r="D36" i="6" s="1"/>
  <c r="D35" i="6"/>
  <c r="A35" i="6"/>
  <c r="C35" i="6" s="1"/>
  <c r="A34" i="6"/>
  <c r="D34" i="6" s="1"/>
  <c r="A33" i="6"/>
  <c r="C33" i="6" s="1"/>
  <c r="A32" i="6"/>
  <c r="D32" i="6" s="1"/>
  <c r="A31" i="6"/>
  <c r="D31" i="6" s="1"/>
  <c r="D30" i="6"/>
  <c r="C30" i="6"/>
  <c r="A30" i="6"/>
  <c r="D29" i="6"/>
  <c r="A29" i="6"/>
  <c r="C29" i="6" s="1"/>
  <c r="A28" i="6"/>
  <c r="D28" i="6" s="1"/>
  <c r="D27" i="6"/>
  <c r="A27" i="6"/>
  <c r="C27" i="6" s="1"/>
  <c r="A26" i="6"/>
  <c r="D26" i="6" s="1"/>
  <c r="A25" i="6"/>
  <c r="C25" i="6" s="1"/>
  <c r="D24" i="6"/>
  <c r="C24" i="6"/>
  <c r="A24" i="6"/>
  <c r="A23" i="6"/>
  <c r="D23" i="6" s="1"/>
  <c r="D22" i="6"/>
  <c r="C22" i="6"/>
  <c r="A22" i="6"/>
  <c r="D21" i="6"/>
  <c r="A21" i="6"/>
  <c r="C21" i="6" s="1"/>
  <c r="A20" i="6"/>
  <c r="D20" i="6" s="1"/>
  <c r="D19" i="6"/>
  <c r="A19" i="6"/>
  <c r="C19" i="6" s="1"/>
  <c r="A18" i="6"/>
  <c r="D18" i="6" s="1"/>
  <c r="A17" i="6"/>
  <c r="C17" i="6" s="1"/>
  <c r="D16" i="6"/>
  <c r="C16" i="6"/>
  <c r="A16" i="6"/>
  <c r="A15" i="6"/>
  <c r="D15" i="6" s="1"/>
  <c r="D14" i="6"/>
  <c r="C14" i="6"/>
  <c r="A14" i="6"/>
  <c r="D13" i="6"/>
  <c r="A13" i="6"/>
  <c r="C13" i="6" s="1"/>
  <c r="A12" i="6"/>
  <c r="D12" i="6" s="1"/>
  <c r="D11" i="6"/>
  <c r="A11" i="6"/>
  <c r="C11" i="6" s="1"/>
  <c r="A10" i="6"/>
  <c r="D10" i="6" s="1"/>
  <c r="D44" i="5"/>
  <c r="C33" i="5"/>
  <c r="D33" i="5"/>
  <c r="C36" i="5"/>
  <c r="D36" i="5"/>
  <c r="C11" i="5"/>
  <c r="D11" i="5"/>
  <c r="D16" i="5"/>
  <c r="D18" i="5"/>
  <c r="D19" i="5"/>
  <c r="D24" i="5"/>
  <c r="D26" i="5"/>
  <c r="C27" i="5"/>
  <c r="D27" i="5"/>
  <c r="C10" i="5"/>
  <c r="A48" i="5"/>
  <c r="C48" i="5" s="1"/>
  <c r="A47" i="5"/>
  <c r="C47" i="5" s="1"/>
  <c r="A46" i="5"/>
  <c r="C46" i="5" s="1"/>
  <c r="A45" i="5"/>
  <c r="D45" i="5" s="1"/>
  <c r="A44" i="5"/>
  <c r="C44" i="5" s="1"/>
  <c r="A43" i="5"/>
  <c r="C43" i="5" s="1"/>
  <c r="A42" i="5"/>
  <c r="C42" i="5" s="1"/>
  <c r="A41" i="5"/>
  <c r="D41" i="5" s="1"/>
  <c r="A40" i="5"/>
  <c r="C40" i="5" s="1"/>
  <c r="A39" i="5"/>
  <c r="C39" i="5" s="1"/>
  <c r="A38" i="5"/>
  <c r="C38" i="5" s="1"/>
  <c r="A37" i="5"/>
  <c r="D37" i="5" s="1"/>
  <c r="A36" i="5"/>
  <c r="A35" i="5"/>
  <c r="D35" i="5" s="1"/>
  <c r="A34" i="5"/>
  <c r="C34" i="5" s="1"/>
  <c r="A33" i="5"/>
  <c r="A32" i="5"/>
  <c r="C32" i="5" s="1"/>
  <c r="A31" i="5"/>
  <c r="C31" i="5" s="1"/>
  <c r="A29" i="5"/>
  <c r="D29" i="5" s="1"/>
  <c r="A28" i="5"/>
  <c r="C28" i="5" s="1"/>
  <c r="A27" i="5"/>
  <c r="A26" i="5"/>
  <c r="C26" i="5" s="1"/>
  <c r="A25" i="5"/>
  <c r="C25" i="5" s="1"/>
  <c r="A24" i="5"/>
  <c r="C24" i="5" s="1"/>
  <c r="A23" i="5"/>
  <c r="C23" i="5" s="1"/>
  <c r="A22" i="5"/>
  <c r="C22" i="5" s="1"/>
  <c r="A21" i="5"/>
  <c r="D21" i="5" s="1"/>
  <c r="A20" i="5"/>
  <c r="C20" i="5" s="1"/>
  <c r="A19" i="5"/>
  <c r="C19" i="5" s="1"/>
  <c r="A18" i="5"/>
  <c r="C18" i="5" s="1"/>
  <c r="A17" i="5"/>
  <c r="C17" i="5" s="1"/>
  <c r="A16" i="5"/>
  <c r="C16" i="5" s="1"/>
  <c r="A15" i="5"/>
  <c r="C15" i="5" s="1"/>
  <c r="A14" i="5"/>
  <c r="C14" i="5" s="1"/>
  <c r="A13" i="5"/>
  <c r="D13" i="5" s="1"/>
  <c r="A12" i="5"/>
  <c r="C12" i="5" s="1"/>
  <c r="A11" i="5"/>
  <c r="A10" i="5"/>
  <c r="D10" i="5" s="1"/>
  <c r="A30" i="5"/>
  <c r="C30" i="5" s="1"/>
  <c r="N34" i="3"/>
  <c r="P34" i="3"/>
  <c r="N35" i="3"/>
  <c r="P35" i="3"/>
  <c r="N36" i="3"/>
  <c r="P36" i="3"/>
  <c r="N37" i="3"/>
  <c r="P37" i="3"/>
  <c r="N38" i="3"/>
  <c r="P38" i="3"/>
  <c r="N39" i="3"/>
  <c r="P39" i="3"/>
  <c r="N40" i="3"/>
  <c r="P40" i="3"/>
  <c r="N41" i="3"/>
  <c r="P41" i="3"/>
  <c r="N42" i="3"/>
  <c r="P42" i="3"/>
  <c r="N43" i="3"/>
  <c r="P43" i="3"/>
  <c r="N44" i="3"/>
  <c r="P44" i="3"/>
  <c r="N45" i="3"/>
  <c r="P45" i="3"/>
  <c r="N46" i="3"/>
  <c r="P46" i="3"/>
  <c r="N47" i="3"/>
  <c r="P47" i="3"/>
  <c r="N48" i="3"/>
  <c r="P48" i="3"/>
  <c r="N49" i="3"/>
  <c r="P49" i="3"/>
  <c r="N50" i="3"/>
  <c r="P50" i="3"/>
  <c r="N51" i="3"/>
  <c r="P51" i="3"/>
  <c r="N52" i="3"/>
  <c r="P52" i="3"/>
  <c r="P33" i="3"/>
  <c r="N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33" i="3"/>
  <c r="F9" i="4"/>
  <c r="H9" i="4" s="1"/>
  <c r="F17" i="4"/>
  <c r="H17" i="4" s="1"/>
  <c r="F18" i="4"/>
  <c r="H18" i="4" s="1"/>
  <c r="F19" i="4"/>
  <c r="H19" i="4" s="1"/>
  <c r="F25" i="4"/>
  <c r="H25" i="4" s="1"/>
  <c r="E9" i="4"/>
  <c r="G9" i="4" s="1"/>
  <c r="E10" i="4"/>
  <c r="G10" i="4" s="1"/>
  <c r="E11" i="4"/>
  <c r="G11" i="4" s="1"/>
  <c r="E12" i="4"/>
  <c r="F12" i="4" s="1"/>
  <c r="H12" i="4" s="1"/>
  <c r="E13" i="4"/>
  <c r="G13" i="4" s="1"/>
  <c r="E14" i="4"/>
  <c r="F14" i="4" s="1"/>
  <c r="H14" i="4" s="1"/>
  <c r="E15" i="4"/>
  <c r="F15" i="4" s="1"/>
  <c r="H15" i="4" s="1"/>
  <c r="E16" i="4"/>
  <c r="F16" i="4" s="1"/>
  <c r="H16" i="4" s="1"/>
  <c r="E17" i="4"/>
  <c r="G17" i="4" s="1"/>
  <c r="E18" i="4"/>
  <c r="G18" i="4" s="1"/>
  <c r="E19" i="4"/>
  <c r="G19" i="4" s="1"/>
  <c r="E20" i="4"/>
  <c r="F20" i="4" s="1"/>
  <c r="H20" i="4" s="1"/>
  <c r="E21" i="4"/>
  <c r="F21" i="4" s="1"/>
  <c r="H21" i="4" s="1"/>
  <c r="E22" i="4"/>
  <c r="F22" i="4" s="1"/>
  <c r="H22" i="4" s="1"/>
  <c r="E23" i="4"/>
  <c r="F23" i="4" s="1"/>
  <c r="H23" i="4" s="1"/>
  <c r="E24" i="4"/>
  <c r="F24" i="4" s="1"/>
  <c r="H24" i="4" s="1"/>
  <c r="E25" i="4"/>
  <c r="G25" i="4" s="1"/>
  <c r="E26" i="4"/>
  <c r="G26" i="4" s="1"/>
  <c r="E8" i="4"/>
  <c r="G8" i="4" s="1"/>
  <c r="O79" i="4"/>
  <c r="O78" i="4"/>
  <c r="L66" i="4"/>
  <c r="L62" i="4"/>
  <c r="L58" i="4"/>
  <c r="L39" i="4"/>
  <c r="L47" i="4"/>
  <c r="L44" i="4"/>
  <c r="L38" i="4"/>
  <c r="L48" i="4"/>
  <c r="L37" i="4"/>
  <c r="L41" i="4"/>
  <c r="L49" i="4"/>
  <c r="L34" i="4"/>
  <c r="L42" i="4"/>
  <c r="L50" i="4"/>
  <c r="L35" i="4"/>
  <c r="L43" i="4"/>
  <c r="L51" i="4"/>
  <c r="L36" i="4"/>
  <c r="L45" i="4"/>
  <c r="L46" i="4"/>
  <c r="I10" i="4"/>
  <c r="I18" i="4"/>
  <c r="I26" i="4"/>
  <c r="I11" i="4"/>
  <c r="I19" i="4"/>
  <c r="I12" i="4"/>
  <c r="I20" i="4"/>
  <c r="I13" i="4"/>
  <c r="I21" i="4"/>
  <c r="I6" i="4"/>
  <c r="I14" i="4"/>
  <c r="I22" i="4"/>
  <c r="I7" i="4"/>
  <c r="I15" i="4"/>
  <c r="I23" i="4"/>
  <c r="I8" i="4"/>
  <c r="I16" i="4"/>
  <c r="I24" i="4"/>
  <c r="I9" i="4"/>
  <c r="I17" i="4"/>
  <c r="I25" i="4"/>
  <c r="I5" i="4"/>
  <c r="J7" i="4"/>
  <c r="J11" i="4"/>
  <c r="J15" i="4"/>
  <c r="J19" i="4"/>
  <c r="J23" i="4"/>
  <c r="J9" i="4"/>
  <c r="J21" i="4"/>
  <c r="J10" i="4"/>
  <c r="J14" i="4"/>
  <c r="J22" i="4"/>
  <c r="J8" i="4"/>
  <c r="J12" i="4"/>
  <c r="J16" i="4"/>
  <c r="J20" i="4"/>
  <c r="J24" i="4"/>
  <c r="J13" i="4"/>
  <c r="J17" i="4"/>
  <c r="J25" i="4"/>
  <c r="J6" i="4"/>
  <c r="J18" i="4"/>
  <c r="J26" i="4"/>
  <c r="J5" i="4"/>
  <c r="D78" i="3"/>
  <c r="D86" i="3"/>
  <c r="D79" i="3"/>
  <c r="D87" i="3"/>
  <c r="D80" i="3"/>
  <c r="D88" i="3"/>
  <c r="D81" i="3"/>
  <c r="D89" i="3"/>
  <c r="D93" i="3"/>
  <c r="D82" i="3"/>
  <c r="D90" i="3"/>
  <c r="D83" i="3"/>
  <c r="D91" i="3"/>
  <c r="D76" i="3"/>
  <c r="D84" i="3"/>
  <c r="D92" i="3"/>
  <c r="D77" i="3"/>
  <c r="D85" i="3"/>
  <c r="D75" i="3"/>
  <c r="E76" i="3"/>
  <c r="E84" i="3"/>
  <c r="E92" i="3"/>
  <c r="E77" i="3"/>
  <c r="E85" i="3"/>
  <c r="E93" i="3"/>
  <c r="E88" i="3"/>
  <c r="E89" i="3"/>
  <c r="E90" i="3"/>
  <c r="E83" i="3"/>
  <c r="E78" i="3"/>
  <c r="E86" i="3"/>
  <c r="E79" i="3"/>
  <c r="E87" i="3"/>
  <c r="E80" i="3"/>
  <c r="E81" i="3"/>
  <c r="E82" i="3"/>
  <c r="E91" i="3"/>
  <c r="E75" i="3"/>
  <c r="Q80" i="4" l="1"/>
  <c r="P79" i="4"/>
  <c r="R80" i="4"/>
  <c r="K71" i="4"/>
  <c r="K56" i="4"/>
  <c r="K63" i="4"/>
  <c r="F74" i="4"/>
  <c r="H74" i="4" s="1"/>
  <c r="I74" i="4" s="1"/>
  <c r="J74" i="4" s="1"/>
  <c r="G74" i="4"/>
  <c r="F56" i="4"/>
  <c r="H56" i="4" s="1"/>
  <c r="I56" i="4" s="1"/>
  <c r="J56" i="4" s="1"/>
  <c r="K58" i="4"/>
  <c r="M58" i="4" s="1"/>
  <c r="K69" i="4"/>
  <c r="G68" i="4"/>
  <c r="F68" i="4"/>
  <c r="H68" i="4" s="1"/>
  <c r="I68" i="4" s="1"/>
  <c r="J68" i="4" s="1"/>
  <c r="F54" i="4"/>
  <c r="H54" i="4" s="1"/>
  <c r="I54" i="4" s="1"/>
  <c r="J54" i="4" s="1"/>
  <c r="F72" i="4"/>
  <c r="H72" i="4" s="1"/>
  <c r="G72" i="4"/>
  <c r="K72" i="4" s="1"/>
  <c r="F60" i="4"/>
  <c r="H60" i="4" s="1"/>
  <c r="I60" i="4" s="1"/>
  <c r="J60" i="4" s="1"/>
  <c r="K62" i="4"/>
  <c r="M62" i="4" s="1"/>
  <c r="G70" i="4"/>
  <c r="F70" i="4"/>
  <c r="H70" i="4" s="1"/>
  <c r="I70" i="4" s="1"/>
  <c r="J70" i="4" s="1"/>
  <c r="K57" i="4"/>
  <c r="F64" i="4"/>
  <c r="H64" i="4" s="1"/>
  <c r="I64" i="4" s="1"/>
  <c r="J64" i="4" s="1"/>
  <c r="K66" i="4"/>
  <c r="M66" i="4" s="1"/>
  <c r="F55" i="4"/>
  <c r="H55" i="4" s="1"/>
  <c r="I55" i="4" s="1"/>
  <c r="J55" i="4" s="1"/>
  <c r="F57" i="4"/>
  <c r="H57" i="4" s="1"/>
  <c r="I57" i="4" s="1"/>
  <c r="J57" i="4" s="1"/>
  <c r="F59" i="4"/>
  <c r="H59" i="4" s="1"/>
  <c r="I59" i="4" s="1"/>
  <c r="J59" i="4" s="1"/>
  <c r="F61" i="4"/>
  <c r="H61" i="4" s="1"/>
  <c r="I61" i="4" s="1"/>
  <c r="J61" i="4" s="1"/>
  <c r="F63" i="4"/>
  <c r="H63" i="4" s="1"/>
  <c r="I63" i="4" s="1"/>
  <c r="J63" i="4" s="1"/>
  <c r="F65" i="4"/>
  <c r="H65" i="4" s="1"/>
  <c r="I65" i="4" s="1"/>
  <c r="J65" i="4" s="1"/>
  <c r="F67" i="4"/>
  <c r="H67" i="4" s="1"/>
  <c r="I67" i="4" s="1"/>
  <c r="J67" i="4" s="1"/>
  <c r="F69" i="4"/>
  <c r="H69" i="4" s="1"/>
  <c r="I69" i="4" s="1"/>
  <c r="J69" i="4" s="1"/>
  <c r="F71" i="4"/>
  <c r="H71" i="4" s="1"/>
  <c r="I71" i="4" s="1"/>
  <c r="J71" i="4" s="1"/>
  <c r="F73" i="4"/>
  <c r="H73" i="4" s="1"/>
  <c r="I73" i="4" s="1"/>
  <c r="J73" i="4" s="1"/>
  <c r="F75" i="4"/>
  <c r="H75" i="4" s="1"/>
  <c r="I75" i="4" s="1"/>
  <c r="J75" i="4" s="1"/>
  <c r="G22" i="4"/>
  <c r="K22" i="4" s="1"/>
  <c r="G20" i="4"/>
  <c r="K25" i="4"/>
  <c r="F13" i="4"/>
  <c r="H13" i="4" s="1"/>
  <c r="K13" i="4" s="1"/>
  <c r="K20" i="4"/>
  <c r="G21" i="4"/>
  <c r="K21" i="4" s="1"/>
  <c r="F8" i="4"/>
  <c r="H8" i="4" s="1"/>
  <c r="N8" i="4" s="1"/>
  <c r="F11" i="4"/>
  <c r="H11" i="4" s="1"/>
  <c r="G12" i="4"/>
  <c r="G14" i="4"/>
  <c r="N14" i="4" s="1"/>
  <c r="F26" i="4"/>
  <c r="H26" i="4" s="1"/>
  <c r="K26" i="4" s="1"/>
  <c r="F10" i="4"/>
  <c r="H10" i="4" s="1"/>
  <c r="N10" i="4" s="1"/>
  <c r="L5" i="4"/>
  <c r="L25" i="4"/>
  <c r="M25" i="4" s="1"/>
  <c r="L17" i="4"/>
  <c r="L9" i="4"/>
  <c r="L24" i="4"/>
  <c r="L16" i="4"/>
  <c r="L8" i="4"/>
  <c r="L23" i="4"/>
  <c r="L15" i="4"/>
  <c r="L7" i="4"/>
  <c r="L22" i="4"/>
  <c r="M22" i="4" s="1"/>
  <c r="L14" i="4"/>
  <c r="L6" i="4"/>
  <c r="L21" i="4"/>
  <c r="L13" i="4"/>
  <c r="M13" i="4" s="1"/>
  <c r="L20" i="4"/>
  <c r="M20" i="4" s="1"/>
  <c r="L12" i="4"/>
  <c r="L19" i="4"/>
  <c r="L11" i="4"/>
  <c r="L26" i="4"/>
  <c r="L18" i="4"/>
  <c r="L10" i="4"/>
  <c r="K18" i="4"/>
  <c r="K24" i="4"/>
  <c r="G24" i="4"/>
  <c r="N24" i="4" s="1"/>
  <c r="G16" i="4"/>
  <c r="K16" i="4" s="1"/>
  <c r="G23" i="4"/>
  <c r="K23" i="4" s="1"/>
  <c r="M23" i="4" s="1"/>
  <c r="G15" i="4"/>
  <c r="N15" i="4" s="1"/>
  <c r="M21" i="4"/>
  <c r="K17" i="4"/>
  <c r="K14" i="4"/>
  <c r="K12" i="4"/>
  <c r="K10" i="4"/>
  <c r="M10" i="4" s="1"/>
  <c r="K9" i="4"/>
  <c r="K11" i="4"/>
  <c r="M11" i="4" s="1"/>
  <c r="K19" i="4"/>
  <c r="N20" i="4"/>
  <c r="F30" i="4"/>
  <c r="H30" i="4" s="1"/>
  <c r="G30" i="4"/>
  <c r="G38" i="4"/>
  <c r="F38" i="4"/>
  <c r="H38" i="4" s="1"/>
  <c r="F36" i="4"/>
  <c r="H36" i="4" s="1"/>
  <c r="G36" i="4"/>
  <c r="K45" i="4"/>
  <c r="G34" i="4"/>
  <c r="F34" i="4"/>
  <c r="H34" i="4" s="1"/>
  <c r="G42" i="4"/>
  <c r="F42" i="4"/>
  <c r="H42" i="4" s="1"/>
  <c r="F32" i="4"/>
  <c r="H32" i="4" s="1"/>
  <c r="G32" i="4"/>
  <c r="G40" i="4"/>
  <c r="F40" i="4"/>
  <c r="H40" i="4" s="1"/>
  <c r="K51" i="4"/>
  <c r="F48" i="4"/>
  <c r="H48" i="4" s="1"/>
  <c r="I48" i="4" s="1"/>
  <c r="G46" i="4"/>
  <c r="F31" i="4"/>
  <c r="H31" i="4" s="1"/>
  <c r="K31" i="4" s="1"/>
  <c r="F33" i="4"/>
  <c r="H33" i="4" s="1"/>
  <c r="I33" i="4" s="1"/>
  <c r="J33" i="4" s="1"/>
  <c r="F35" i="4"/>
  <c r="H35" i="4" s="1"/>
  <c r="F37" i="4"/>
  <c r="H37" i="4" s="1"/>
  <c r="I37" i="4" s="1"/>
  <c r="F39" i="4"/>
  <c r="H39" i="4" s="1"/>
  <c r="F41" i="4"/>
  <c r="H41" i="4" s="1"/>
  <c r="F43" i="4"/>
  <c r="H43" i="4" s="1"/>
  <c r="F45" i="4"/>
  <c r="H45" i="4" s="1"/>
  <c r="F47" i="4"/>
  <c r="H47" i="4" s="1"/>
  <c r="F49" i="4"/>
  <c r="H49" i="4" s="1"/>
  <c r="I49" i="4" s="1"/>
  <c r="J49" i="4" s="1"/>
  <c r="F51" i="4"/>
  <c r="H51" i="4" s="1"/>
  <c r="F50" i="4"/>
  <c r="H50" i="4" s="1"/>
  <c r="I50" i="4" s="1"/>
  <c r="J50" i="4" s="1"/>
  <c r="F44" i="4"/>
  <c r="H44" i="4" s="1"/>
  <c r="F7" i="4"/>
  <c r="F5" i="4"/>
  <c r="F6" i="4"/>
  <c r="N19" i="4"/>
  <c r="N16" i="4"/>
  <c r="N22" i="4"/>
  <c r="N25" i="4"/>
  <c r="N18" i="4"/>
  <c r="N17" i="4"/>
  <c r="N13" i="4"/>
  <c r="N12" i="4"/>
  <c r="F61" i="7"/>
  <c r="E48" i="7"/>
  <c r="C70" i="7"/>
  <c r="C35" i="7"/>
  <c r="C30" i="7"/>
  <c r="F30" i="7" s="1"/>
  <c r="C25" i="7"/>
  <c r="F25" i="7" s="1"/>
  <c r="C20" i="7"/>
  <c r="F22" i="7"/>
  <c r="E45" i="7"/>
  <c r="E13" i="7"/>
  <c r="C65" i="7"/>
  <c r="E57" i="7"/>
  <c r="C43" i="7"/>
  <c r="E43" i="7" s="1"/>
  <c r="C32" i="7"/>
  <c r="C27" i="7"/>
  <c r="C17" i="7"/>
  <c r="F17" i="7" s="1"/>
  <c r="E51" i="7"/>
  <c r="E52" i="7"/>
  <c r="C78" i="7"/>
  <c r="E33" i="7"/>
  <c r="E12" i="7"/>
  <c r="E37" i="7"/>
  <c r="E17" i="7"/>
  <c r="F40" i="7"/>
  <c r="F14" i="7"/>
  <c r="F38" i="7"/>
  <c r="F13" i="7"/>
  <c r="E61" i="7"/>
  <c r="E21" i="7"/>
  <c r="F45" i="7"/>
  <c r="E60" i="7"/>
  <c r="F60" i="7"/>
  <c r="F47" i="7"/>
  <c r="E56" i="7"/>
  <c r="F56" i="7"/>
  <c r="E36" i="7"/>
  <c r="F36" i="7"/>
  <c r="E59" i="7"/>
  <c r="F59" i="7"/>
  <c r="F46" i="7"/>
  <c r="E46" i="7"/>
  <c r="E34" i="7"/>
  <c r="F24" i="7"/>
  <c r="E19" i="7"/>
  <c r="F57" i="7"/>
  <c r="F54" i="7"/>
  <c r="F29" i="7"/>
  <c r="F43" i="7"/>
  <c r="F19" i="7"/>
  <c r="F11" i="7"/>
  <c r="E38" i="7"/>
  <c r="E14" i="7"/>
  <c r="C41" i="7"/>
  <c r="E58" i="7"/>
  <c r="E50" i="7"/>
  <c r="E42" i="7"/>
  <c r="F26" i="7"/>
  <c r="F18" i="7"/>
  <c r="F10" i="7"/>
  <c r="F53" i="7"/>
  <c r="E24" i="7"/>
  <c r="F42" i="7"/>
  <c r="F34" i="7"/>
  <c r="E30" i="7"/>
  <c r="E22" i="7"/>
  <c r="C16" i="7"/>
  <c r="F49" i="7"/>
  <c r="F48" i="7"/>
  <c r="E28" i="7"/>
  <c r="E29" i="7"/>
  <c r="F44" i="7"/>
  <c r="E55" i="7"/>
  <c r="E47" i="7"/>
  <c r="E39" i="7"/>
  <c r="E23" i="7"/>
  <c r="C62" i="7"/>
  <c r="F63" i="7"/>
  <c r="C66" i="7"/>
  <c r="C64" i="7"/>
  <c r="C71" i="7"/>
  <c r="C38" i="6"/>
  <c r="D37" i="6"/>
  <c r="C32" i="6"/>
  <c r="C41" i="6"/>
  <c r="C12" i="6"/>
  <c r="D17" i="6"/>
  <c r="C20" i="6"/>
  <c r="D25" i="6"/>
  <c r="C28" i="6"/>
  <c r="D33" i="6"/>
  <c r="C36" i="6"/>
  <c r="C44" i="6"/>
  <c r="C15" i="6"/>
  <c r="C23" i="6"/>
  <c r="C31" i="6"/>
  <c r="C39" i="6"/>
  <c r="C47" i="6"/>
  <c r="C10" i="6"/>
  <c r="C18" i="6"/>
  <c r="C26" i="6"/>
  <c r="C34" i="6"/>
  <c r="C42" i="6"/>
  <c r="C13" i="5"/>
  <c r="D46" i="5"/>
  <c r="C45" i="5"/>
  <c r="C21" i="5"/>
  <c r="D32" i="5"/>
  <c r="D20" i="5"/>
  <c r="C41" i="5"/>
  <c r="C29" i="5"/>
  <c r="D38" i="5"/>
  <c r="D28" i="5"/>
  <c r="C35" i="5"/>
  <c r="C37" i="5"/>
  <c r="D30" i="5"/>
  <c r="D22" i="5"/>
  <c r="D14" i="5"/>
  <c r="D42" i="5"/>
  <c r="D25" i="5"/>
  <c r="D17" i="5"/>
  <c r="D12" i="5"/>
  <c r="D34" i="5"/>
  <c r="D40" i="5"/>
  <c r="D48" i="5"/>
  <c r="D31" i="5"/>
  <c r="D23" i="5"/>
  <c r="D15" i="5"/>
  <c r="D43" i="5"/>
  <c r="D39" i="5"/>
  <c r="D47" i="5"/>
  <c r="N11" i="4"/>
  <c r="N9" i="4"/>
  <c r="L69" i="4"/>
  <c r="L54" i="4"/>
  <c r="L55" i="4"/>
  <c r="L71" i="4"/>
  <c r="L70" i="4"/>
  <c r="L60" i="4"/>
  <c r="L74" i="4"/>
  <c r="L56" i="4"/>
  <c r="L63" i="4"/>
  <c r="L64" i="4"/>
  <c r="L57" i="4"/>
  <c r="L73" i="4"/>
  <c r="L59" i="4"/>
  <c r="L75" i="4"/>
  <c r="L61" i="4"/>
  <c r="L68" i="4"/>
  <c r="L65" i="4"/>
  <c r="L67" i="4"/>
  <c r="L33" i="4"/>
  <c r="O21" i="4"/>
  <c r="O22" i="4"/>
  <c r="O23" i="4"/>
  <c r="O20" i="4"/>
  <c r="O25" i="4"/>
  <c r="O13" i="4"/>
  <c r="O11" i="4"/>
  <c r="O10" i="4"/>
  <c r="M12" i="4" l="1"/>
  <c r="M24" i="4"/>
  <c r="M18" i="4"/>
  <c r="K54" i="4"/>
  <c r="M54" i="4" s="1"/>
  <c r="M14" i="4"/>
  <c r="M17" i="4"/>
  <c r="M26" i="4"/>
  <c r="M9" i="4"/>
  <c r="M59" i="4"/>
  <c r="M57" i="4"/>
  <c r="M63" i="4"/>
  <c r="M56" i="4"/>
  <c r="M71" i="4"/>
  <c r="M69" i="4"/>
  <c r="I72" i="4"/>
  <c r="J72" i="4" s="1"/>
  <c r="K70" i="4"/>
  <c r="M70" i="4" s="1"/>
  <c r="K67" i="4"/>
  <c r="M67" i="4" s="1"/>
  <c r="K65" i="4"/>
  <c r="M65" i="4" s="1"/>
  <c r="K59" i="4"/>
  <c r="K64" i="4"/>
  <c r="M64" i="4" s="1"/>
  <c r="K60" i="4"/>
  <c r="M60" i="4" s="1"/>
  <c r="K68" i="4"/>
  <c r="M68" i="4" s="1"/>
  <c r="K55" i="4"/>
  <c r="M55" i="4" s="1"/>
  <c r="K73" i="4"/>
  <c r="M73" i="4" s="1"/>
  <c r="K75" i="4"/>
  <c r="M75" i="4" s="1"/>
  <c r="K61" i="4"/>
  <c r="M61" i="4" s="1"/>
  <c r="K74" i="4"/>
  <c r="M74" i="4" s="1"/>
  <c r="I30" i="4"/>
  <c r="J30" i="4" s="1"/>
  <c r="I40" i="4"/>
  <c r="J40" i="4" s="1"/>
  <c r="J39" i="4"/>
  <c r="I39" i="4"/>
  <c r="I35" i="4"/>
  <c r="J35" i="4" s="1"/>
  <c r="M19" i="4"/>
  <c r="N26" i="4"/>
  <c r="J47" i="4"/>
  <c r="I47" i="4"/>
  <c r="I31" i="4"/>
  <c r="J31" i="4" s="1"/>
  <c r="I32" i="4"/>
  <c r="J32" i="4" s="1"/>
  <c r="I36" i="4"/>
  <c r="J36" i="4" s="1"/>
  <c r="I45" i="4"/>
  <c r="J45" i="4" s="1"/>
  <c r="I46" i="4"/>
  <c r="J46" i="4" s="1"/>
  <c r="I42" i="4"/>
  <c r="J42" i="4" s="1"/>
  <c r="I38" i="4"/>
  <c r="K8" i="4"/>
  <c r="I44" i="4"/>
  <c r="J44" i="4" s="1"/>
  <c r="J51" i="4"/>
  <c r="I51" i="4"/>
  <c r="N21" i="4"/>
  <c r="K43" i="4"/>
  <c r="I43" i="4"/>
  <c r="J38" i="4"/>
  <c r="I41" i="4"/>
  <c r="J41" i="4" s="1"/>
  <c r="K35" i="4"/>
  <c r="I34" i="4"/>
  <c r="J34" i="4" s="1"/>
  <c r="K15" i="4"/>
  <c r="M15" i="4" s="1"/>
  <c r="K37" i="4"/>
  <c r="J37" i="4"/>
  <c r="J48" i="4"/>
  <c r="N23" i="4"/>
  <c r="P23" i="4" s="1"/>
  <c r="K47" i="4"/>
  <c r="K48" i="4"/>
  <c r="M16" i="4"/>
  <c r="K44" i="4"/>
  <c r="J43" i="4"/>
  <c r="M8" i="4"/>
  <c r="H6" i="4"/>
  <c r="K6" i="4" s="1"/>
  <c r="M6" i="4" s="1"/>
  <c r="H7" i="4"/>
  <c r="K7" i="4" s="1"/>
  <c r="M7" i="4" s="1"/>
  <c r="H5" i="4"/>
  <c r="K40" i="4"/>
  <c r="K38" i="4"/>
  <c r="K34" i="4"/>
  <c r="K41" i="4"/>
  <c r="K33" i="4"/>
  <c r="K39" i="4"/>
  <c r="K42" i="4"/>
  <c r="K36" i="4"/>
  <c r="K32" i="4"/>
  <c r="K30" i="4"/>
  <c r="K46" i="4"/>
  <c r="K50" i="4"/>
  <c r="K49" i="4"/>
  <c r="P10" i="4"/>
  <c r="P11" i="4"/>
  <c r="P13" i="4"/>
  <c r="P25" i="4"/>
  <c r="P20" i="4"/>
  <c r="P22" i="4"/>
  <c r="P21" i="4"/>
  <c r="F65" i="7"/>
  <c r="E65" i="7"/>
  <c r="F58" i="7"/>
  <c r="F51" i="7"/>
  <c r="E27" i="7"/>
  <c r="F27" i="7"/>
  <c r="F32" i="7"/>
  <c r="E32" i="7"/>
  <c r="E25" i="7"/>
  <c r="E63" i="7"/>
  <c r="E35" i="7"/>
  <c r="F35" i="7"/>
  <c r="F64" i="7"/>
  <c r="E64" i="7"/>
  <c r="E11" i="7"/>
  <c r="E20" i="7"/>
  <c r="F20" i="7"/>
  <c r="F39" i="7"/>
  <c r="F50" i="7"/>
  <c r="E18" i="7"/>
  <c r="E54" i="7"/>
  <c r="E16" i="7"/>
  <c r="F16" i="7"/>
  <c r="E53" i="7"/>
  <c r="E49" i="7"/>
  <c r="E10" i="7"/>
  <c r="E15" i="7"/>
  <c r="F15" i="7"/>
  <c r="F23" i="7"/>
  <c r="E41" i="7"/>
  <c r="F41" i="7"/>
  <c r="E44" i="7"/>
  <c r="F55" i="7"/>
  <c r="E26" i="7"/>
  <c r="F31" i="7"/>
  <c r="E31" i="7"/>
  <c r="F62" i="7"/>
  <c r="E62" i="7"/>
  <c r="O18" i="4"/>
  <c r="O24" i="4"/>
  <c r="O12" i="4"/>
  <c r="O14" i="4"/>
  <c r="O17" i="4"/>
  <c r="O26" i="4"/>
  <c r="O9" i="4"/>
  <c r="O58" i="4"/>
  <c r="N58" i="4"/>
  <c r="O66" i="4"/>
  <c r="N66" i="4"/>
  <c r="L72" i="4"/>
  <c r="O62" i="4"/>
  <c r="N62" i="4"/>
  <c r="L32" i="4"/>
  <c r="L31" i="4"/>
  <c r="L30" i="4"/>
  <c r="L40" i="4"/>
  <c r="O15" i="4"/>
  <c r="O19" i="4"/>
  <c r="O16" i="4"/>
  <c r="O8" i="4"/>
  <c r="P12" i="4" l="1"/>
  <c r="P24" i="4"/>
  <c r="P18" i="4"/>
  <c r="P9" i="4"/>
  <c r="P17" i="4"/>
  <c r="P14" i="4"/>
  <c r="P26" i="4"/>
  <c r="M72" i="4"/>
  <c r="P19" i="4"/>
  <c r="P15" i="4"/>
  <c r="N67" i="4"/>
  <c r="N73" i="4"/>
  <c r="N69" i="4"/>
  <c r="N57" i="4"/>
  <c r="O54" i="4"/>
  <c r="N55" i="4"/>
  <c r="N59" i="4"/>
  <c r="N68" i="4"/>
  <c r="N75" i="4"/>
  <c r="N64" i="4"/>
  <c r="O69" i="4"/>
  <c r="O60" i="4"/>
  <c r="N70" i="4"/>
  <c r="O74" i="4"/>
  <c r="O63" i="4"/>
  <c r="O71" i="4"/>
  <c r="O55" i="4"/>
  <c r="O59" i="4"/>
  <c r="N56" i="4"/>
  <c r="O75" i="4"/>
  <c r="N65" i="4"/>
  <c r="O67" i="4"/>
  <c r="O57" i="4"/>
  <c r="N60" i="4"/>
  <c r="O70" i="4"/>
  <c r="N74" i="4"/>
  <c r="N63" i="4"/>
  <c r="N71" i="4"/>
  <c r="O61" i="4"/>
  <c r="O56" i="4"/>
  <c r="N61" i="4"/>
  <c r="N54" i="4"/>
  <c r="O65" i="4"/>
  <c r="O64" i="4"/>
  <c r="O68" i="4"/>
  <c r="O73" i="4"/>
  <c r="O7" i="4"/>
  <c r="O6" i="4"/>
  <c r="Q21" i="4"/>
  <c r="R21" i="4"/>
  <c r="Q24" i="4"/>
  <c r="R24" i="4"/>
  <c r="R15" i="4"/>
  <c r="Q15" i="4"/>
  <c r="R12" i="4"/>
  <c r="Q12" i="4"/>
  <c r="R20" i="4"/>
  <c r="Q20" i="4"/>
  <c r="R14" i="4"/>
  <c r="Q14" i="4"/>
  <c r="R18" i="4"/>
  <c r="Q18" i="4"/>
  <c r="R23" i="4"/>
  <c r="Q23" i="4"/>
  <c r="R26" i="4"/>
  <c r="Q26" i="4"/>
  <c r="R22" i="4"/>
  <c r="Q22" i="4"/>
  <c r="R13" i="4"/>
  <c r="Q13" i="4"/>
  <c r="Q19" i="4"/>
  <c r="R19" i="4"/>
  <c r="Q11" i="4"/>
  <c r="R11" i="4"/>
  <c r="R10" i="4"/>
  <c r="Q10" i="4"/>
  <c r="R17" i="4"/>
  <c r="Q17" i="4"/>
  <c r="R9" i="4"/>
  <c r="Q9" i="4"/>
  <c r="R25" i="4"/>
  <c r="Q25" i="4"/>
  <c r="P8" i="4" l="1"/>
  <c r="P16" i="4"/>
  <c r="N7" i="4"/>
  <c r="P7" i="4" s="1"/>
  <c r="N6" i="4"/>
  <c r="P6" i="4" s="1"/>
  <c r="K5" i="4"/>
  <c r="N5" i="4"/>
  <c r="M32" i="4"/>
  <c r="M30" i="4"/>
  <c r="M50" i="4"/>
  <c r="M44" i="4"/>
  <c r="M36" i="4"/>
  <c r="M35" i="4"/>
  <c r="M45" i="4"/>
  <c r="M39" i="4"/>
  <c r="M33" i="4"/>
  <c r="M34" i="4"/>
  <c r="M40" i="4"/>
  <c r="M31" i="4"/>
  <c r="M38" i="4"/>
  <c r="M47" i="4"/>
  <c r="M43" i="4"/>
  <c r="M51" i="4"/>
  <c r="M41" i="4"/>
  <c r="M46" i="4"/>
  <c r="M49" i="4"/>
  <c r="M42" i="4"/>
  <c r="M37" i="4"/>
  <c r="M48" i="4"/>
  <c r="H8" i="3"/>
  <c r="H9" i="3"/>
  <c r="H10" i="3"/>
  <c r="H11" i="3"/>
  <c r="H12" i="3"/>
  <c r="H13" i="3"/>
  <c r="H14" i="3"/>
  <c r="H15" i="3"/>
  <c r="H16" i="3"/>
  <c r="H7" i="3"/>
  <c r="G7" i="3"/>
  <c r="G9" i="3"/>
  <c r="G10" i="3"/>
  <c r="G11" i="3"/>
  <c r="G12" i="3"/>
  <c r="G13" i="3"/>
  <c r="G14" i="3"/>
  <c r="G15" i="3"/>
  <c r="G16" i="3"/>
  <c r="G8" i="3"/>
  <c r="F8" i="3"/>
  <c r="F9" i="3"/>
  <c r="F10" i="3"/>
  <c r="F11" i="3"/>
  <c r="F12" i="3"/>
  <c r="F13" i="3"/>
  <c r="F14" i="3"/>
  <c r="F15" i="3"/>
  <c r="F16" i="3"/>
  <c r="F7" i="3"/>
  <c r="E6" i="3"/>
  <c r="E8" i="3"/>
  <c r="E9" i="3"/>
  <c r="E10" i="3"/>
  <c r="E11" i="3"/>
  <c r="E12" i="3"/>
  <c r="E13" i="3"/>
  <c r="E14" i="3"/>
  <c r="E15" i="3"/>
  <c r="E16" i="3"/>
  <c r="E7" i="3"/>
  <c r="N72" i="4"/>
  <c r="O72" i="4"/>
  <c r="Q16" i="4"/>
  <c r="R16" i="4"/>
  <c r="R8" i="4"/>
  <c r="Q8" i="4"/>
  <c r="M5" i="4" l="1"/>
  <c r="C38" i="2"/>
  <c r="C37" i="2"/>
  <c r="C29" i="2"/>
  <c r="C28" i="2"/>
  <c r="C36" i="2"/>
  <c r="C35" i="2"/>
  <c r="C34" i="2"/>
  <c r="C30" i="2"/>
  <c r="B31" i="2"/>
  <c r="B27" i="2"/>
  <c r="B24" i="2"/>
  <c r="L20" i="2"/>
  <c r="F8" i="2"/>
  <c r="H8" i="2" s="1"/>
  <c r="O5" i="4"/>
  <c r="N33" i="4"/>
  <c r="O40" i="4"/>
  <c r="O31" i="4"/>
  <c r="O41" i="4"/>
  <c r="O50" i="4"/>
  <c r="O45" i="4"/>
  <c r="N39" i="4"/>
  <c r="O30" i="4"/>
  <c r="O44" i="4"/>
  <c r="N36" i="4"/>
  <c r="N51" i="4"/>
  <c r="O42" i="4"/>
  <c r="N34" i="4"/>
  <c r="N38" i="4"/>
  <c r="N47" i="4"/>
  <c r="O51" i="4"/>
  <c r="N50" i="4"/>
  <c r="O48" i="4"/>
  <c r="O38" i="4"/>
  <c r="N45" i="4"/>
  <c r="N31" i="4"/>
  <c r="N35" i="4"/>
  <c r="O43" i="4"/>
  <c r="O32" i="4"/>
  <c r="N48" i="4"/>
  <c r="N49" i="4"/>
  <c r="O46" i="4"/>
  <c r="N32" i="4"/>
  <c r="N37" i="4"/>
  <c r="N46" i="4"/>
  <c r="O33" i="4"/>
  <c r="N40" i="4"/>
  <c r="N41" i="4"/>
  <c r="O37" i="4"/>
  <c r="N42" i="4"/>
  <c r="O35" i="4"/>
  <c r="O39" i="4"/>
  <c r="N44" i="4"/>
  <c r="O36" i="4"/>
  <c r="O49" i="4"/>
  <c r="O34" i="4"/>
  <c r="N30" i="4"/>
  <c r="O47" i="4"/>
  <c r="N43" i="4"/>
  <c r="Q7" i="4"/>
  <c r="R7" i="4"/>
  <c r="R6" i="4"/>
  <c r="Q6" i="4"/>
  <c r="P5" i="4" l="1"/>
  <c r="N14" i="1"/>
  <c r="N15" i="1"/>
  <c r="N16" i="1"/>
  <c r="N17" i="1"/>
  <c r="N18" i="1"/>
  <c r="N19" i="1"/>
  <c r="N13" i="1"/>
  <c r="M15" i="1"/>
  <c r="M16" i="1" s="1"/>
  <c r="M17" i="1" s="1"/>
  <c r="M18" i="1" s="1"/>
  <c r="M19" i="1" s="1"/>
  <c r="M14" i="1"/>
  <c r="M13" i="1"/>
  <c r="K14" i="1"/>
  <c r="K15" i="1"/>
  <c r="K16" i="1"/>
  <c r="K17" i="1"/>
  <c r="K18" i="1"/>
  <c r="K19" i="1"/>
  <c r="K13" i="1"/>
  <c r="L14" i="1"/>
  <c r="L15" i="1"/>
  <c r="L16" i="1"/>
  <c r="L17" i="1"/>
  <c r="L18" i="1"/>
  <c r="L19" i="1"/>
  <c r="L13" i="1"/>
  <c r="J15" i="1"/>
  <c r="J16" i="1"/>
  <c r="J17" i="1"/>
  <c r="J18" i="1"/>
  <c r="J19" i="1"/>
  <c r="J14" i="1"/>
  <c r="J13" i="1"/>
  <c r="I14" i="1"/>
  <c r="I15" i="1"/>
  <c r="I16" i="1"/>
  <c r="I17" i="1"/>
  <c r="I18" i="1"/>
  <c r="I19" i="1"/>
  <c r="I13" i="1"/>
  <c r="Q5" i="4"/>
  <c r="R5" i="4"/>
  <c r="F69" i="7" l="1"/>
  <c r="F77" i="7"/>
  <c r="F66" i="7"/>
  <c r="F81" i="7"/>
  <c r="F78" i="7"/>
  <c r="F80" i="7"/>
  <c r="F74" i="7"/>
  <c r="F72" i="7"/>
  <c r="E78" i="7"/>
  <c r="E77" i="7"/>
  <c r="F75" i="7"/>
  <c r="F70" i="7"/>
  <c r="E70" i="7"/>
  <c r="E75" i="7"/>
  <c r="F73" i="7"/>
  <c r="E73" i="7"/>
  <c r="F68" i="7"/>
  <c r="E76" i="7"/>
  <c r="F76" i="7"/>
  <c r="E79" i="7"/>
  <c r="F79" i="7"/>
  <c r="F67" i="7"/>
  <c r="E67" i="7"/>
  <c r="E69" i="7"/>
  <c r="E80" i="7"/>
  <c r="E74" i="7"/>
  <c r="E81" i="7"/>
  <c r="F82" i="7"/>
  <c r="E82" i="7"/>
  <c r="E72" i="7"/>
  <c r="E68" i="7"/>
  <c r="F71" i="7"/>
  <c r="E71" i="7"/>
  <c r="E66" i="7"/>
</calcChain>
</file>

<file path=xl/connections.xml><?xml version="1.0" encoding="utf-8"?>
<connections xmlns="http://schemas.openxmlformats.org/spreadsheetml/2006/main">
  <connection id="1" name="AeroData" type="6" refreshedVersion="6" background="1" saveData="1">
    <textPr codePage="850" sourceFile="C:\Users\Johns Lenovo\Documents\GitHub\Rowing\AeroData.csv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<sst xmlns="http://schemas.openxmlformats.org/spreadsheetml/2006/main" count="80" uniqueCount="43">
  <si>
    <t xml:space="preserve">a </t>
  </si>
  <si>
    <t>v</t>
  </si>
  <si>
    <t>ratio</t>
  </si>
  <si>
    <t>Cd</t>
  </si>
  <si>
    <t>time for 200</t>
  </si>
  <si>
    <t>2400N</t>
  </si>
  <si>
    <t xml:space="preserve">L </t>
  </si>
  <si>
    <r>
      <t xml:space="preserve">For a thin flat plate at a low angle of attack the lift coefficient </t>
    </r>
    <r>
      <rPr>
        <b/>
        <sz val="10"/>
        <color theme="1"/>
        <rFont val="Arial"/>
        <family val="2"/>
      </rPr>
      <t>Clo</t>
    </r>
    <r>
      <rPr>
        <sz val="10"/>
        <color theme="1"/>
        <rFont val="Arial"/>
        <family val="2"/>
      </rPr>
      <t xml:space="preserve"> is equal to 2.0 times </t>
    </r>
    <r>
      <rPr>
        <b/>
        <sz val="10"/>
        <color theme="1"/>
        <rFont val="Arial"/>
        <family val="2"/>
      </rPr>
      <t>pi (3.14159)</t>
    </r>
    <r>
      <rPr>
        <sz val="10"/>
        <color theme="1"/>
        <rFont val="Arial"/>
        <family val="2"/>
      </rPr>
      <t xml:space="preserve"> times the angle </t>
    </r>
    <r>
      <rPr>
        <b/>
        <sz val="10"/>
        <color theme="1"/>
        <rFont val="Arial"/>
        <family val="2"/>
      </rPr>
      <t>a</t>
    </r>
    <r>
      <rPr>
        <sz val="10"/>
        <color theme="1"/>
        <rFont val="Arial"/>
        <family val="2"/>
      </rPr>
      <t xml:space="preserve"> expressed in radians (180 degrees equals pi radians):</t>
    </r>
  </si>
  <si>
    <t>Clo = 2 * pi * a</t>
  </si>
  <si>
    <t>The drag coefficient Cdo is equal to 1.28 times times the trigonometric sine, sin, of the angle a:</t>
  </si>
  <si>
    <t>Cdo = 1.28 * sin(a)</t>
  </si>
  <si>
    <t>http://www.aerospaceweb.org/question/aerodynamics/q0194.shtml</t>
  </si>
  <si>
    <t>x</t>
  </si>
  <si>
    <t>y</t>
  </si>
  <si>
    <t>boat</t>
  </si>
  <si>
    <t>oar</t>
  </si>
  <si>
    <t>x-v</t>
  </si>
  <si>
    <t>oar ang</t>
  </si>
  <si>
    <t>Alpha</t>
  </si>
  <si>
    <t>Lift</t>
  </si>
  <si>
    <t>(CL)</t>
  </si>
  <si>
    <t>Drag</t>
  </si>
  <si>
    <t>(CD)</t>
  </si>
  <si>
    <t>Normal</t>
  </si>
  <si>
    <t>(CN)</t>
  </si>
  <si>
    <t>Axial</t>
  </si>
  <si>
    <t>(CA)</t>
  </si>
  <si>
    <t>[deg]</t>
  </si>
  <si>
    <t>[-]</t>
  </si>
  <si>
    <t>=======</t>
  </si>
  <si>
    <t>mag</t>
  </si>
  <si>
    <t>Cn</t>
  </si>
  <si>
    <t>Cl</t>
  </si>
  <si>
    <t>Ca</t>
  </si>
  <si>
    <t>Fprop</t>
  </si>
  <si>
    <t>Fside</t>
  </si>
  <si>
    <t>boat angle</t>
  </si>
  <si>
    <t>xo</t>
  </si>
  <si>
    <t>yo</t>
  </si>
  <si>
    <t>boateng</t>
  </si>
  <si>
    <t>oar aoa</t>
  </si>
  <si>
    <t>ang_rad</t>
  </si>
  <si>
    <t>ang_deg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</si>
</sst>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6" formatCode="0.0000"/>
    <numFmt numFmtId="167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quotePrefix="1" applyFont="1" applyAlignment="1">
      <alignment vertical="center"/>
    </xf>
    <xf numFmtId="0" fontId="0" fillId="0" borderId="0" xfId="0" quotePrefix="1" applyAlignment="1">
      <alignment horizontal="center"/>
    </xf>
    <xf numFmtId="166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Font="1"/>
    <xf numFmtId="166" fontId="0" fillId="0" borderId="0" xfId="0" applyNumberFormat="1" applyFont="1"/>
    <xf numFmtId="164" fontId="0" fillId="0" borderId="0" xfId="0" applyNumberForma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0"/>
          </c:trendline>
          <c:xVal>
            <c:numRef>
              <c:f>Sheet2!$H$15:$N$15</c:f>
              <c:numCache>
                <c:formatCode>General</c:formatCode>
                <c:ptCount val="7"/>
                <c:pt idx="0">
                  <c:v>1</c:v>
                </c:pt>
                <c:pt idx="1">
                  <c:v>1.5</c:v>
                </c:pt>
                <c:pt idx="2">
                  <c:v>1.9</c:v>
                </c:pt>
                <c:pt idx="3">
                  <c:v>2</c:v>
                </c:pt>
                <c:pt idx="4">
                  <c:v>2.1</c:v>
                </c:pt>
                <c:pt idx="5">
                  <c:v>3</c:v>
                </c:pt>
                <c:pt idx="6">
                  <c:v>4</c:v>
                </c:pt>
              </c:numCache>
            </c:numRef>
          </c:xVal>
          <c:yVal>
            <c:numRef>
              <c:f>Sheet2!$H$17:$N$17</c:f>
              <c:numCache>
                <c:formatCode>General</c:formatCode>
                <c:ptCount val="7"/>
                <c:pt idx="0">
                  <c:v>1868.34</c:v>
                </c:pt>
                <c:pt idx="1">
                  <c:v>1906.12</c:v>
                </c:pt>
                <c:pt idx="2">
                  <c:v>1925.28</c:v>
                </c:pt>
                <c:pt idx="3">
                  <c:v>1929.2</c:v>
                </c:pt>
                <c:pt idx="4">
                  <c:v>1932.82</c:v>
                </c:pt>
                <c:pt idx="5">
                  <c:v>1957.1</c:v>
                </c:pt>
                <c:pt idx="6">
                  <c:v>1974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1D-4447-93F6-0D1A5F35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170064"/>
        <c:axId val="643169408"/>
      </c:scatterChart>
      <c:valAx>
        <c:axId val="64317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69408"/>
        <c:crosses val="autoZero"/>
        <c:crossBetween val="midCat"/>
      </c:valAx>
      <c:valAx>
        <c:axId val="64316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70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Sheet3!$D$33:$D$52</c:f>
              <c:numCache>
                <c:formatCode>General</c:formatCode>
                <c:ptCount val="20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17</c:v>
                </c:pt>
                <c:pt idx="4">
                  <c:v>23</c:v>
                </c:pt>
                <c:pt idx="5">
                  <c:v>33</c:v>
                </c:pt>
                <c:pt idx="6">
                  <c:v>45</c:v>
                </c:pt>
                <c:pt idx="7">
                  <c:v>55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</c:numCache>
            </c:numRef>
          </c:xVal>
          <c:yVal>
            <c:numRef>
              <c:f>Sheet3!$F$33:$F$52</c:f>
              <c:numCache>
                <c:formatCode>General</c:formatCode>
                <c:ptCount val="20"/>
                <c:pt idx="0">
                  <c:v>0</c:v>
                </c:pt>
                <c:pt idx="1">
                  <c:v>0.86280000000000001</c:v>
                </c:pt>
                <c:pt idx="2">
                  <c:v>1.0314000000000001</c:v>
                </c:pt>
                <c:pt idx="3">
                  <c:v>0.58020000000000005</c:v>
                </c:pt>
                <c:pt idx="4">
                  <c:v>0.57520000000000004</c:v>
                </c:pt>
                <c:pt idx="5">
                  <c:v>0.88260000000000005</c:v>
                </c:pt>
                <c:pt idx="6">
                  <c:v>0.96199999999999997</c:v>
                </c:pt>
                <c:pt idx="7">
                  <c:v>0.8579</c:v>
                </c:pt>
                <c:pt idx="8">
                  <c:v>0.56030000000000002</c:v>
                </c:pt>
                <c:pt idx="9">
                  <c:v>0.32729999999999998</c:v>
                </c:pt>
                <c:pt idx="10">
                  <c:v>7.4399999999999994E-2</c:v>
                </c:pt>
                <c:pt idx="11">
                  <c:v>-0.1835</c:v>
                </c:pt>
                <c:pt idx="12">
                  <c:v>-0.42649999999999999</c:v>
                </c:pt>
                <c:pt idx="13">
                  <c:v>-0.62980000000000003</c:v>
                </c:pt>
                <c:pt idx="14">
                  <c:v>-0.81320000000000003</c:v>
                </c:pt>
                <c:pt idx="15">
                  <c:v>-0.89749999999999996</c:v>
                </c:pt>
                <c:pt idx="16">
                  <c:v>-0.70409999999999995</c:v>
                </c:pt>
                <c:pt idx="17">
                  <c:v>-0.58020000000000005</c:v>
                </c:pt>
                <c:pt idx="18">
                  <c:v>-0.81320000000000003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1F-4034-8CEF-5BE62057A691}"/>
            </c:ext>
          </c:extLst>
        </c:ser>
        <c:ser>
          <c:idx val="1"/>
          <c:order val="1"/>
          <c:tx>
            <c:v>Cd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Sheet3!$D$33:$D$52</c:f>
              <c:numCache>
                <c:formatCode>General</c:formatCode>
                <c:ptCount val="20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17</c:v>
                </c:pt>
                <c:pt idx="4">
                  <c:v>23</c:v>
                </c:pt>
                <c:pt idx="5">
                  <c:v>33</c:v>
                </c:pt>
                <c:pt idx="6">
                  <c:v>45</c:v>
                </c:pt>
                <c:pt idx="7">
                  <c:v>55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</c:numCache>
            </c:numRef>
          </c:xVal>
          <c:yVal>
            <c:numRef>
              <c:f>Sheet3!$H$33:$H$52</c:f>
              <c:numCache>
                <c:formatCode>General</c:formatCode>
                <c:ptCount val="20"/>
                <c:pt idx="0">
                  <c:v>0</c:v>
                </c:pt>
                <c:pt idx="1">
                  <c:v>2.0899999999999998E-2</c:v>
                </c:pt>
                <c:pt idx="2">
                  <c:v>5.7700000000000001E-2</c:v>
                </c:pt>
                <c:pt idx="3">
                  <c:v>0.21640000000000001</c:v>
                </c:pt>
                <c:pt idx="4">
                  <c:v>0.33779999999999999</c:v>
                </c:pt>
                <c:pt idx="5">
                  <c:v>0.69710000000000005</c:v>
                </c:pt>
                <c:pt idx="6">
                  <c:v>1.0828</c:v>
                </c:pt>
                <c:pt idx="7">
                  <c:v>1.421</c:v>
                </c:pt>
                <c:pt idx="8">
                  <c:v>1.6585000000000001</c:v>
                </c:pt>
                <c:pt idx="9">
                  <c:v>1.8009999999999999</c:v>
                </c:pt>
                <c:pt idx="10">
                  <c:v>1.8376999999999999</c:v>
                </c:pt>
                <c:pt idx="11">
                  <c:v>1.7581</c:v>
                </c:pt>
                <c:pt idx="12">
                  <c:v>1.6362000000000001</c:v>
                </c:pt>
                <c:pt idx="13">
                  <c:v>1.5037</c:v>
                </c:pt>
                <c:pt idx="14">
                  <c:v>1.2601</c:v>
                </c:pt>
                <c:pt idx="15">
                  <c:v>0.9425</c:v>
                </c:pt>
                <c:pt idx="16">
                  <c:v>0.6038</c:v>
                </c:pt>
                <c:pt idx="17">
                  <c:v>0.31259999999999999</c:v>
                </c:pt>
                <c:pt idx="18">
                  <c:v>0.13250000000000001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1F-4034-8CEF-5BE62057A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154152"/>
        <c:axId val="658154480"/>
      </c:scatterChart>
      <c:valAx>
        <c:axId val="658154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54480"/>
        <c:crosses val="autoZero"/>
        <c:crossBetween val="midCat"/>
      </c:valAx>
      <c:valAx>
        <c:axId val="65815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54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853937007874016"/>
          <c:y val="0.17171296296296296"/>
          <c:w val="0.80543285214348181"/>
          <c:h val="0.77736111111111106"/>
        </c:manualLayout>
      </c:layout>
      <c:scatterChart>
        <c:scatterStyle val="smoothMarker"/>
        <c:varyColors val="0"/>
        <c:ser>
          <c:idx val="0"/>
          <c:order val="0"/>
          <c:tx>
            <c:v>Cl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Coppel!$B$46:$B$82</c:f>
              <c:numCache>
                <c:formatCode>General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Coppel!$C$46:$C$82</c:f>
              <c:numCache>
                <c:formatCode>0.0000</c:formatCode>
                <c:ptCount val="37"/>
                <c:pt idx="0">
                  <c:v>0</c:v>
                </c:pt>
                <c:pt idx="1">
                  <c:v>0.24310744873370244</c:v>
                </c:pt>
                <c:pt idx="2">
                  <c:v>0.47882820065593618</c:v>
                </c:pt>
                <c:pt idx="3">
                  <c:v>0.69999999999999984</c:v>
                </c:pt>
                <c:pt idx="4">
                  <c:v>0.89990265356115484</c:v>
                </c:pt>
                <c:pt idx="5">
                  <c:v>1.0724622203665692</c:v>
                </c:pt>
                <c:pt idx="6">
                  <c:v>1.2124355652982139</c:v>
                </c:pt>
                <c:pt idx="7">
                  <c:v>1.3155696691002716</c:v>
                </c:pt>
                <c:pt idx="8">
                  <c:v>1.3787308542170911</c:v>
                </c:pt>
                <c:pt idx="9">
                  <c:v>1.4</c:v>
                </c:pt>
                <c:pt idx="10">
                  <c:v>1.3787308542170911</c:v>
                </c:pt>
                <c:pt idx="11">
                  <c:v>1.3155696691002716</c:v>
                </c:pt>
                <c:pt idx="12">
                  <c:v>1.2124355652982142</c:v>
                </c:pt>
                <c:pt idx="13">
                  <c:v>1.0724622203665692</c:v>
                </c:pt>
                <c:pt idx="14">
                  <c:v>0.89990265356115517</c:v>
                </c:pt>
                <c:pt idx="15">
                  <c:v>0.69999999999999984</c:v>
                </c:pt>
                <c:pt idx="16">
                  <c:v>0.4788282006559364</c:v>
                </c:pt>
                <c:pt idx="17">
                  <c:v>0.24310744873370238</c:v>
                </c:pt>
                <c:pt idx="18">
                  <c:v>1.715207836872068E-16</c:v>
                </c:pt>
                <c:pt idx="19">
                  <c:v>-0.24310744873370263</c:v>
                </c:pt>
                <c:pt idx="20">
                  <c:v>-0.47882820065593606</c:v>
                </c:pt>
                <c:pt idx="21">
                  <c:v>-0.70000000000000007</c:v>
                </c:pt>
                <c:pt idx="22">
                  <c:v>-0.89990265356115484</c:v>
                </c:pt>
                <c:pt idx="23">
                  <c:v>-1.072462220366569</c:v>
                </c:pt>
                <c:pt idx="24">
                  <c:v>-1.2124355652982137</c:v>
                </c:pt>
                <c:pt idx="25">
                  <c:v>-1.3155696691002714</c:v>
                </c:pt>
                <c:pt idx="26">
                  <c:v>-1.3787308542170911</c:v>
                </c:pt>
                <c:pt idx="27">
                  <c:v>-1.4</c:v>
                </c:pt>
                <c:pt idx="28">
                  <c:v>-1.3787308542170913</c:v>
                </c:pt>
                <c:pt idx="29">
                  <c:v>-1.3155696691002718</c:v>
                </c:pt>
                <c:pt idx="30">
                  <c:v>-1.2124355652982139</c:v>
                </c:pt>
                <c:pt idx="31">
                  <c:v>-1.0724622203665692</c:v>
                </c:pt>
                <c:pt idx="32">
                  <c:v>-0.8999026535611554</c:v>
                </c:pt>
                <c:pt idx="33">
                  <c:v>-0.70000000000000062</c:v>
                </c:pt>
                <c:pt idx="34">
                  <c:v>-0.47882820065593601</c:v>
                </c:pt>
                <c:pt idx="35">
                  <c:v>-0.24310744873370377</c:v>
                </c:pt>
                <c:pt idx="36">
                  <c:v>-3.430415673744136E-16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79-4533-96F7-2EBD39EBA46E}"/>
            </c:ext>
          </c:extLst>
        </c:ser>
        <c:ser>
          <c:idx val="1"/>
          <c:order val="1"/>
          <c:tx>
            <c:v>Cd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Coppel!$B$46:$B$82</c:f>
              <c:numCache>
                <c:formatCode>General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Coppel!$D$46:$D$82</c:f>
              <c:numCache>
                <c:formatCode>0.0000</c:formatCode>
                <c:ptCount val="37"/>
                <c:pt idx="0">
                  <c:v>0</c:v>
                </c:pt>
                <c:pt idx="1">
                  <c:v>1.3673022289012793E-2</c:v>
                </c:pt>
                <c:pt idx="2">
                  <c:v>5.4276641292682393E-2</c:v>
                </c:pt>
                <c:pt idx="3">
                  <c:v>0.12057713659400515</c:v>
                </c:pt>
                <c:pt idx="4">
                  <c:v>0.21056000119291984</c:v>
                </c:pt>
                <c:pt idx="5">
                  <c:v>0.32149115128211458</c:v>
                </c:pt>
                <c:pt idx="6">
                  <c:v>0.4499999999999999</c:v>
                </c:pt>
                <c:pt idx="7">
                  <c:v>0.59218187100689801</c:v>
                </c:pt>
                <c:pt idx="8">
                  <c:v>0.74371664009976268</c:v>
                </c:pt>
                <c:pt idx="9">
                  <c:v>0.9</c:v>
                </c:pt>
                <c:pt idx="10">
                  <c:v>1.0562833599002373</c:v>
                </c:pt>
                <c:pt idx="11">
                  <c:v>1.2078181289931018</c:v>
                </c:pt>
                <c:pt idx="12">
                  <c:v>1.3499999999999999</c:v>
                </c:pt>
                <c:pt idx="13">
                  <c:v>1.4785088487178855</c:v>
                </c:pt>
                <c:pt idx="14">
                  <c:v>1.5894399988070802</c:v>
                </c:pt>
                <c:pt idx="15">
                  <c:v>1.6794228634059949</c:v>
                </c:pt>
                <c:pt idx="16">
                  <c:v>1.7457233587073175</c:v>
                </c:pt>
                <c:pt idx="17">
                  <c:v>1.7863269777109871</c:v>
                </c:pt>
                <c:pt idx="18">
                  <c:v>1.8</c:v>
                </c:pt>
                <c:pt idx="19">
                  <c:v>1.7863269777109871</c:v>
                </c:pt>
                <c:pt idx="20">
                  <c:v>1.7457233587073175</c:v>
                </c:pt>
                <c:pt idx="21">
                  <c:v>1.6794228634059949</c:v>
                </c:pt>
                <c:pt idx="22">
                  <c:v>1.5894399988070802</c:v>
                </c:pt>
                <c:pt idx="23">
                  <c:v>1.4785088487178855</c:v>
                </c:pt>
                <c:pt idx="24">
                  <c:v>1.3500000000000005</c:v>
                </c:pt>
                <c:pt idx="25">
                  <c:v>1.2078181289931025</c:v>
                </c:pt>
                <c:pt idx="26">
                  <c:v>1.0562833599002373</c:v>
                </c:pt>
                <c:pt idx="27">
                  <c:v>0.90000000000000013</c:v>
                </c:pt>
                <c:pt idx="28">
                  <c:v>0.74371664009976302</c:v>
                </c:pt>
                <c:pt idx="29">
                  <c:v>0.59218187100689867</c:v>
                </c:pt>
                <c:pt idx="30">
                  <c:v>0.4499999999999999</c:v>
                </c:pt>
                <c:pt idx="31">
                  <c:v>0.3214911512821147</c:v>
                </c:pt>
                <c:pt idx="32">
                  <c:v>0.21056000119291995</c:v>
                </c:pt>
                <c:pt idx="33">
                  <c:v>0.12057713659400549</c:v>
                </c:pt>
                <c:pt idx="34">
                  <c:v>5.4276641292682393E-2</c:v>
                </c:pt>
                <c:pt idx="35">
                  <c:v>1.3673022289012904E-2</c:v>
                </c:pt>
                <c:pt idx="3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79-4533-96F7-2EBD39EBA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852920"/>
        <c:axId val="655228104"/>
      </c:scatterChart>
      <c:valAx>
        <c:axId val="658852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28104"/>
        <c:crosses val="autoZero"/>
        <c:crossBetween val="midCat"/>
      </c:valAx>
      <c:valAx>
        <c:axId val="655228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852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074999999999996"/>
          <c:y val="0.21374927092446774"/>
          <c:w val="0.10980555555555556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853937007874016"/>
          <c:y val="0.17171296296296296"/>
          <c:w val="0.80543285214348181"/>
          <c:h val="0.7773611111111110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Coppel!$E$9</c:f>
              <c:strCache>
                <c:ptCount val="1"/>
                <c:pt idx="0">
                  <c:v>Cn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Coppel!$B$46:$B$82</c:f>
              <c:numCache>
                <c:formatCode>General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Coppel!$E$46:$E$82</c:f>
              <c:numCache>
                <c:formatCode>General</c:formatCode>
                <c:ptCount val="37"/>
                <c:pt idx="0">
                  <c:v>0</c:v>
                </c:pt>
                <c:pt idx="1">
                  <c:v>0.2433740339083294</c:v>
                </c:pt>
                <c:pt idx="2">
                  <c:v>0.48097876421720714</c:v>
                </c:pt>
                <c:pt idx="3">
                  <c:v>0.70735573775680427</c:v>
                </c:pt>
                <c:pt idx="4">
                  <c:v>0.91764764476373051</c:v>
                </c:pt>
                <c:pt idx="5">
                  <c:v>1.1078488931407009</c:v>
                </c:pt>
                <c:pt idx="6">
                  <c:v>1.2749999999999999</c:v>
                </c:pt>
                <c:pt idx="7">
                  <c:v>1.4173131510919115</c:v>
                </c:pt>
                <c:pt idx="8">
                  <c:v>1.5342209508035149</c:v>
                </c:pt>
                <c:pt idx="9">
                  <c:v>1.6263455967290592</c:v>
                </c:pt>
                <c:pt idx="10">
                  <c:v>1.6953911083939048</c:v>
                </c:pt>
                <c:pt idx="11">
                  <c:v>1.7439664520680633</c:v>
                </c:pt>
                <c:pt idx="12">
                  <c:v>1.7753520777580993</c:v>
                </c:pt>
                <c:pt idx="13">
                  <c:v>1.7932262021495022</c:v>
                </c:pt>
                <c:pt idx="14">
                  <c:v>1.801369872611112</c:v>
                </c:pt>
                <c:pt idx="15">
                  <c:v>1.8033712485959532</c:v>
                </c:pt>
                <c:pt idx="16">
                  <c:v>1.8023495427289167</c:v>
                </c:pt>
                <c:pt idx="17">
                  <c:v>1.8007176745158113</c:v>
                </c:pt>
                <c:pt idx="18">
                  <c:v>1.8</c:v>
                </c:pt>
                <c:pt idx="19">
                  <c:v>1.8007176745158113</c:v>
                </c:pt>
                <c:pt idx="20">
                  <c:v>1.8023495427289167</c:v>
                </c:pt>
                <c:pt idx="21">
                  <c:v>1.8033712485959532</c:v>
                </c:pt>
                <c:pt idx="22">
                  <c:v>1.801369872611112</c:v>
                </c:pt>
                <c:pt idx="23">
                  <c:v>1.7932262021495022</c:v>
                </c:pt>
                <c:pt idx="24">
                  <c:v>1.7753520777580993</c:v>
                </c:pt>
                <c:pt idx="25">
                  <c:v>1.7439664520680636</c:v>
                </c:pt>
                <c:pt idx="26">
                  <c:v>1.6953911083939048</c:v>
                </c:pt>
                <c:pt idx="27">
                  <c:v>1.6263455967290592</c:v>
                </c:pt>
                <c:pt idx="28">
                  <c:v>1.5342209508035154</c:v>
                </c:pt>
                <c:pt idx="29">
                  <c:v>1.4173131510919117</c:v>
                </c:pt>
                <c:pt idx="30">
                  <c:v>1.2749999999999999</c:v>
                </c:pt>
                <c:pt idx="31">
                  <c:v>1.1078488931407009</c:v>
                </c:pt>
                <c:pt idx="32">
                  <c:v>0.91764764476373095</c:v>
                </c:pt>
                <c:pt idx="33">
                  <c:v>0.70735573775680516</c:v>
                </c:pt>
                <c:pt idx="34">
                  <c:v>0.48097876421720698</c:v>
                </c:pt>
                <c:pt idx="35">
                  <c:v>0.24337403390833076</c:v>
                </c:pt>
                <c:pt idx="36">
                  <c:v>3.430415673744136E-16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02-4733-A012-2D8F0F43672B}"/>
            </c:ext>
          </c:extLst>
        </c:ser>
        <c:ser>
          <c:idx val="1"/>
          <c:order val="1"/>
          <c:tx>
            <c:strRef>
              <c:f>Coppel!$F$9</c:f>
              <c:strCache>
                <c:ptCount val="1"/>
                <c:pt idx="0">
                  <c:v>Ca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Coppel!$B$46:$B$82</c:f>
              <c:numCache>
                <c:formatCode>General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Coppel!$F$46:$F$82</c:f>
              <c:numCache>
                <c:formatCode>0.0000</c:formatCode>
                <c:ptCount val="37"/>
                <c:pt idx="0">
                  <c:v>0</c:v>
                </c:pt>
                <c:pt idx="1">
                  <c:v>-7.5672179506692597E-3</c:v>
                </c:pt>
                <c:pt idx="2">
                  <c:v>-2.9695587306942405E-2</c:v>
                </c:pt>
                <c:pt idx="3">
                  <c:v>-6.4704761275630213E-2</c:v>
                </c:pt>
                <c:pt idx="4">
                  <c:v>-0.10992315519647691</c:v>
                </c:pt>
                <c:pt idx="5">
                  <c:v>-0.16187218548353233</c:v>
                </c:pt>
                <c:pt idx="6">
                  <c:v>-0.21650635094610954</c:v>
                </c:pt>
                <c:pt idx="7">
                  <c:v>-0.26949277234787811</c:v>
                </c:pt>
                <c:pt idx="8">
                  <c:v>-0.31651111077974425</c:v>
                </c:pt>
                <c:pt idx="9">
                  <c:v>-0.35355339059327351</c:v>
                </c:pt>
                <c:pt idx="10">
                  <c:v>-0.3772032533677443</c:v>
                </c:pt>
                <c:pt idx="11">
                  <c:v>-0.38487556566002845</c:v>
                </c:pt>
                <c:pt idx="12">
                  <c:v>-0.375</c:v>
                </c:pt>
                <c:pt idx="13">
                  <c:v>-0.34713602200744187</c:v>
                </c:pt>
                <c:pt idx="14">
                  <c:v>-0.30201138677752681</c:v>
                </c:pt>
                <c:pt idx="15">
                  <c:v>-0.24148145657226699</c:v>
                </c:pt>
                <c:pt idx="16">
                  <c:v>-0.16841204441673263</c:v>
                </c:pt>
                <c:pt idx="17">
                  <c:v>-8.6493696962544692E-2</c:v>
                </c:pt>
                <c:pt idx="18">
                  <c:v>-6.1257422745431001E-17</c:v>
                </c:pt>
                <c:pt idx="19">
                  <c:v>8.6493696962544775E-2</c:v>
                </c:pt>
                <c:pt idx="20">
                  <c:v>0.16841204441673246</c:v>
                </c:pt>
                <c:pt idx="21">
                  <c:v>0.24148145657226699</c:v>
                </c:pt>
                <c:pt idx="22">
                  <c:v>0.3020113867775267</c:v>
                </c:pt>
                <c:pt idx="23">
                  <c:v>0.34713602200744198</c:v>
                </c:pt>
                <c:pt idx="24">
                  <c:v>0.37499999999999989</c:v>
                </c:pt>
                <c:pt idx="25">
                  <c:v>0.38487556566002856</c:v>
                </c:pt>
                <c:pt idx="26">
                  <c:v>0.3772032533677443</c:v>
                </c:pt>
                <c:pt idx="27">
                  <c:v>0.35355339059327373</c:v>
                </c:pt>
                <c:pt idx="28">
                  <c:v>0.31651111077974459</c:v>
                </c:pt>
                <c:pt idx="29">
                  <c:v>0.26949277234787827</c:v>
                </c:pt>
                <c:pt idx="30">
                  <c:v>0.21650635094610954</c:v>
                </c:pt>
                <c:pt idx="31">
                  <c:v>0.16187218548353233</c:v>
                </c:pt>
                <c:pt idx="32">
                  <c:v>0.10992315519647719</c:v>
                </c:pt>
                <c:pt idx="33">
                  <c:v>6.4704761275630282E-2</c:v>
                </c:pt>
                <c:pt idx="34">
                  <c:v>2.9695587306942349E-2</c:v>
                </c:pt>
                <c:pt idx="35">
                  <c:v>7.5672179506693776E-3</c:v>
                </c:pt>
                <c:pt idx="36">
                  <c:v>4.202768462381941E-32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02-4733-A012-2D8F0F436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852920"/>
        <c:axId val="655228104"/>
      </c:scatterChart>
      <c:valAx>
        <c:axId val="658852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28104"/>
        <c:crosses val="autoZero"/>
        <c:crossBetween val="midCat"/>
      </c:valAx>
      <c:valAx>
        <c:axId val="655228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852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074999999999996"/>
          <c:y val="0.21374927092446774"/>
          <c:w val="0.10980555555555556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252412</xdr:colOff>
      <xdr:row>25</xdr:row>
      <xdr:rowOff>23812</xdr:rowOff>
    </xdr:from>
    <xdr:to>
      <xdr:col>12</xdr:col>
      <xdr:colOff>557212</xdr:colOff>
      <xdr:row>39</xdr:row>
      <xdr:rowOff>100012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504825</xdr:colOff>
      <xdr:row>15</xdr:row>
      <xdr:rowOff>166687</xdr:rowOff>
    </xdr:from>
    <xdr:to>
      <xdr:col>29</xdr:col>
      <xdr:colOff>200025</xdr:colOff>
      <xdr:row>30</xdr:row>
      <xdr:rowOff>52387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2</xdr:row>
      <xdr:rowOff>0</xdr:rowOff>
    </xdr:from>
    <xdr:to>
      <xdr:col>28</xdr:col>
      <xdr:colOff>560838</xdr:colOff>
      <xdr:row>12</xdr:row>
      <xdr:rowOff>171190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05700" y="381000"/>
          <a:ext cx="9095238" cy="2076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7</xdr:row>
      <xdr:rowOff>0</xdr:rowOff>
    </xdr:from>
    <xdr:to>
      <xdr:col>24</xdr:col>
      <xdr:colOff>560838</xdr:colOff>
      <xdr:row>17</xdr:row>
      <xdr:rowOff>171190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0" y="1333500"/>
          <a:ext cx="9095238" cy="20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7</xdr:row>
      <xdr:rowOff>0</xdr:rowOff>
    </xdr:from>
    <xdr:to>
      <xdr:col>24</xdr:col>
      <xdr:colOff>560838</xdr:colOff>
      <xdr:row>17</xdr:row>
      <xdr:rowOff>171190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0" y="1333500"/>
          <a:ext cx="9095238" cy="20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133350</xdr:colOff>
      <xdr:row>12</xdr:row>
      <xdr:rowOff>57150</xdr:rowOff>
    </xdr:from>
    <xdr:to>
      <xdr:col>24</xdr:col>
      <xdr:colOff>84588</xdr:colOff>
      <xdr:row>23</xdr:row>
      <xdr:rowOff>37840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6153150"/>
          <a:ext cx="9095238" cy="2076190"/>
        </a:xfrm>
        <a:prstGeom prst="rect">
          <a:avLst/>
        </a:prstGeom>
      </xdr:spPr>
    </xdr:pic>
    <xdr:clientData/>
  </xdr:twoCellAnchor>
  <xdr:twoCellAnchor>
    <xdr:from>
      <xdr:col>7</xdr:col>
      <xdr:colOff>371475</xdr:colOff>
      <xdr:row>28</xdr:row>
      <xdr:rowOff>142875</xdr:rowOff>
    </xdr:from>
    <xdr:to>
      <xdr:col>15</xdr:col>
      <xdr:colOff>66675</xdr:colOff>
      <xdr:row>43</xdr:row>
      <xdr:rowOff>28575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457200</xdr:colOff>
      <xdr:row>44</xdr:row>
      <xdr:rowOff>104775</xdr:rowOff>
    </xdr:from>
    <xdr:to>
      <xdr:col>15</xdr:col>
      <xdr:colOff>152400</xdr:colOff>
      <xdr:row>58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AeroData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rc.nasa.gov/www/k-12/airplane/trig.html" TargetMode="External"/><Relationship Id="rId4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5:N19"/>
  <sheetViews>
    <sheetView workbookViewId="0">
      <selection activeCell="J24" sqref="J24"/>
    </sheetView>
  </sheetViews>
  <sheetFormatPr defaultRowHeight="15" x14ac:dyDescent="0.25"/>
  <sheetData>
    <row r="5" spans="4:14" x14ac:dyDescent="0.25">
      <c r="D5">
        <v>0</v>
      </c>
    </row>
    <row r="6" spans="4:14" x14ac:dyDescent="0.25">
      <c r="D6">
        <v>15</v>
      </c>
    </row>
    <row r="7" spans="4:14" x14ac:dyDescent="0.25">
      <c r="D7">
        <v>30</v>
      </c>
    </row>
    <row r="12" spans="4:14" x14ac:dyDescent="0.25">
      <c r="D12" t="s">
        <v>0</v>
      </c>
      <c r="E12">
        <v>10</v>
      </c>
      <c r="H12" s="1">
        <v>0</v>
      </c>
      <c r="I12">
        <v>0</v>
      </c>
      <c r="J12">
        <v>0</v>
      </c>
    </row>
    <row r="13" spans="4:14" x14ac:dyDescent="0.25">
      <c r="D13" t="s">
        <v>1</v>
      </c>
      <c r="E13">
        <v>0</v>
      </c>
      <c r="H13" s="1">
        <v>0.5</v>
      </c>
      <c r="I13">
        <f>H13*$E$12</f>
        <v>5</v>
      </c>
      <c r="J13">
        <f t="shared" ref="J13:J19" si="0">0.5*E$12*H13^2</f>
        <v>1.25</v>
      </c>
      <c r="K13">
        <f>J13-J12</f>
        <v>1.25</v>
      </c>
      <c r="L13">
        <f t="shared" ref="L13:L19" si="1">(2*$E$12*J13)^0.5</f>
        <v>5</v>
      </c>
      <c r="M13">
        <f>L12+(2*$E$12*K13)^0.5</f>
        <v>5</v>
      </c>
      <c r="N13">
        <f>(-M12+SQRT(M12^2+2*$E$12*K13))/$E$12</f>
        <v>0.5</v>
      </c>
    </row>
    <row r="14" spans="4:14" x14ac:dyDescent="0.25">
      <c r="H14" s="1">
        <v>1</v>
      </c>
      <c r="I14">
        <f t="shared" ref="I14:I19" si="2">H14*$E$12</f>
        <v>10</v>
      </c>
      <c r="J14">
        <f t="shared" si="0"/>
        <v>5</v>
      </c>
      <c r="K14">
        <f t="shared" ref="K14:K19" si="3">J14-J13</f>
        <v>3.75</v>
      </c>
      <c r="L14">
        <f t="shared" si="1"/>
        <v>10</v>
      </c>
      <c r="M14">
        <f t="shared" ref="M14:M19" si="4">(M13^2+2*$E$12*K14)^0.5</f>
        <v>10</v>
      </c>
      <c r="N14">
        <f t="shared" ref="N14:N19" si="5">(-M13+SQRT(M13^2+2*$E$12*K14))/$E$12</f>
        <v>0.5</v>
      </c>
    </row>
    <row r="15" spans="4:14" x14ac:dyDescent="0.25">
      <c r="H15" s="1">
        <v>1.5</v>
      </c>
      <c r="I15">
        <f t="shared" si="2"/>
        <v>15</v>
      </c>
      <c r="J15">
        <f t="shared" si="0"/>
        <v>11.25</v>
      </c>
      <c r="K15">
        <f t="shared" si="3"/>
        <v>6.25</v>
      </c>
      <c r="L15">
        <f t="shared" si="1"/>
        <v>15</v>
      </c>
      <c r="M15">
        <f t="shared" si="4"/>
        <v>15</v>
      </c>
      <c r="N15">
        <f t="shared" si="5"/>
        <v>0.5</v>
      </c>
    </row>
    <row r="16" spans="4:14" x14ac:dyDescent="0.25">
      <c r="H16" s="1">
        <v>2</v>
      </c>
      <c r="I16">
        <f t="shared" si="2"/>
        <v>20</v>
      </c>
      <c r="J16">
        <f t="shared" si="0"/>
        <v>20</v>
      </c>
      <c r="K16">
        <f t="shared" si="3"/>
        <v>8.75</v>
      </c>
      <c r="L16">
        <f t="shared" si="1"/>
        <v>20</v>
      </c>
      <c r="M16">
        <f t="shared" si="4"/>
        <v>20</v>
      </c>
      <c r="N16">
        <f t="shared" si="5"/>
        <v>0.5</v>
      </c>
    </row>
    <row r="17" spans="8:14" x14ac:dyDescent="0.25">
      <c r="H17" s="1">
        <v>2.5</v>
      </c>
      <c r="I17">
        <f t="shared" si="2"/>
        <v>25</v>
      </c>
      <c r="J17">
        <f t="shared" si="0"/>
        <v>31.25</v>
      </c>
      <c r="K17">
        <f t="shared" si="3"/>
        <v>11.25</v>
      </c>
      <c r="L17">
        <f t="shared" si="1"/>
        <v>25</v>
      </c>
      <c r="M17">
        <f t="shared" si="4"/>
        <v>25</v>
      </c>
      <c r="N17">
        <f t="shared" si="5"/>
        <v>0.5</v>
      </c>
    </row>
    <row r="18" spans="8:14" x14ac:dyDescent="0.25">
      <c r="H18" s="1">
        <v>3</v>
      </c>
      <c r="I18">
        <f t="shared" si="2"/>
        <v>30</v>
      </c>
      <c r="J18">
        <f t="shared" si="0"/>
        <v>45</v>
      </c>
      <c r="K18">
        <f t="shared" si="3"/>
        <v>13.75</v>
      </c>
      <c r="L18">
        <f t="shared" si="1"/>
        <v>30</v>
      </c>
      <c r="M18">
        <f t="shared" si="4"/>
        <v>30</v>
      </c>
      <c r="N18">
        <f t="shared" si="5"/>
        <v>0.5</v>
      </c>
    </row>
    <row r="19" spans="8:14" x14ac:dyDescent="0.25">
      <c r="H19" s="1">
        <v>3.5</v>
      </c>
      <c r="I19">
        <f t="shared" si="2"/>
        <v>35</v>
      </c>
      <c r="J19">
        <f t="shared" si="0"/>
        <v>61.25</v>
      </c>
      <c r="K19">
        <f t="shared" si="3"/>
        <v>16.25</v>
      </c>
      <c r="L19">
        <f t="shared" si="1"/>
        <v>35</v>
      </c>
      <c r="M19">
        <f t="shared" si="4"/>
        <v>35</v>
      </c>
      <c r="N19">
        <f t="shared" si="5"/>
        <v>0.5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Q38"/>
  <sheetViews>
    <sheetView topLeftCell="A7" workbookViewId="0">
      <selection activeCell="H15" sqref="H15"/>
    </sheetView>
  </sheetViews>
  <sheetFormatPr defaultRowHeight="15" x14ac:dyDescent="0.25"/>
  <sheetData>
    <row r="3" spans="2:17" x14ac:dyDescent="0.25">
      <c r="E3">
        <v>11</v>
      </c>
    </row>
    <row r="5" spans="2:17" x14ac:dyDescent="0.25">
      <c r="E5">
        <v>2.83</v>
      </c>
    </row>
    <row r="8" spans="2:17" x14ac:dyDescent="0.25">
      <c r="F8">
        <f>-4.61</f>
        <v>-4.6100000000000003</v>
      </c>
      <c r="H8">
        <f>F8^2</f>
        <v>21.252100000000002</v>
      </c>
    </row>
    <row r="14" spans="2:17" x14ac:dyDescent="0.25">
      <c r="H14" t="s">
        <v>5</v>
      </c>
    </row>
    <row r="15" spans="2:17" x14ac:dyDescent="0.25">
      <c r="B15" t="s">
        <v>3</v>
      </c>
      <c r="C15">
        <v>1</v>
      </c>
      <c r="D15">
        <v>4</v>
      </c>
      <c r="F15">
        <v>40</v>
      </c>
      <c r="H15">
        <v>1</v>
      </c>
      <c r="I15">
        <v>1.5</v>
      </c>
      <c r="J15">
        <v>1.9</v>
      </c>
      <c r="K15">
        <v>2</v>
      </c>
      <c r="L15">
        <v>2.1</v>
      </c>
      <c r="M15">
        <v>3</v>
      </c>
      <c r="N15">
        <v>4</v>
      </c>
      <c r="Q15">
        <v>2</v>
      </c>
    </row>
    <row r="16" spans="2:17" x14ac:dyDescent="0.25">
      <c r="B16" t="s">
        <v>2</v>
      </c>
      <c r="C16">
        <v>0.25</v>
      </c>
      <c r="D16">
        <v>0.25</v>
      </c>
      <c r="F16">
        <v>0.5</v>
      </c>
      <c r="H16">
        <v>0.5</v>
      </c>
      <c r="I16">
        <v>0.5</v>
      </c>
      <c r="J16">
        <v>0.5</v>
      </c>
      <c r="K16">
        <v>0.5</v>
      </c>
      <c r="L16">
        <v>0.5</v>
      </c>
      <c r="M16">
        <v>0.5</v>
      </c>
      <c r="N16">
        <v>0.5</v>
      </c>
      <c r="Q16">
        <v>0.48992999999999998</v>
      </c>
    </row>
    <row r="17" spans="2:17" x14ac:dyDescent="0.25">
      <c r="B17" s="2" t="s">
        <v>4</v>
      </c>
      <c r="C17">
        <v>1935</v>
      </c>
      <c r="D17">
        <v>2013</v>
      </c>
      <c r="F17">
        <v>2015.61</v>
      </c>
      <c r="H17">
        <v>1868.34</v>
      </c>
      <c r="I17">
        <v>1906.12</v>
      </c>
      <c r="J17">
        <v>1925.28</v>
      </c>
      <c r="K17">
        <v>1929.2</v>
      </c>
      <c r="L17">
        <v>1932.82</v>
      </c>
      <c r="M17">
        <v>1957.1</v>
      </c>
      <c r="N17">
        <v>1974</v>
      </c>
      <c r="Q17">
        <v>1930.85</v>
      </c>
    </row>
    <row r="18" spans="2:17" x14ac:dyDescent="0.25">
      <c r="C18">
        <v>1.01</v>
      </c>
      <c r="F18">
        <v>0.55000000000000004</v>
      </c>
      <c r="H18">
        <v>0.48</v>
      </c>
      <c r="I18">
        <v>0.4975</v>
      </c>
      <c r="J18">
        <v>0.50590000000000002</v>
      </c>
      <c r="K18">
        <v>0.50590000000000002</v>
      </c>
      <c r="L18">
        <v>0.50719999999999998</v>
      </c>
      <c r="M18">
        <v>0.51629999999999998</v>
      </c>
      <c r="N18">
        <v>0.52280000000000004</v>
      </c>
      <c r="Q18">
        <v>0.51680000000000004</v>
      </c>
    </row>
    <row r="20" spans="2:17" x14ac:dyDescent="0.25">
      <c r="L20">
        <f>N18/K18</f>
        <v>1.033405811425183</v>
      </c>
    </row>
    <row r="23" spans="2:17" x14ac:dyDescent="0.25">
      <c r="B23">
        <v>3.76</v>
      </c>
    </row>
    <row r="24" spans="2:17" x14ac:dyDescent="0.25">
      <c r="B24">
        <f>B23*2/3</f>
        <v>2.5066666666666664</v>
      </c>
    </row>
    <row r="27" spans="2:17" x14ac:dyDescent="0.25">
      <c r="B27">
        <f>13.05+8*0.348</f>
        <v>15.834</v>
      </c>
    </row>
    <row r="28" spans="2:17" x14ac:dyDescent="0.25">
      <c r="C28">
        <f>2.35*3/2</f>
        <v>3.5250000000000004</v>
      </c>
    </row>
    <row r="29" spans="2:17" x14ac:dyDescent="0.25">
      <c r="C29">
        <f>2.35+0.25</f>
        <v>2.6</v>
      </c>
    </row>
    <row r="30" spans="2:17" x14ac:dyDescent="0.25">
      <c r="B30">
        <v>2.35</v>
      </c>
      <c r="C30">
        <f>B30*0.5</f>
        <v>1.175</v>
      </c>
    </row>
    <row r="31" spans="2:17" x14ac:dyDescent="0.25">
      <c r="B31">
        <f>90*PI()/180*B30</f>
        <v>3.6913713679680069</v>
      </c>
    </row>
    <row r="34" spans="2:3" x14ac:dyDescent="0.25">
      <c r="B34">
        <v>55</v>
      </c>
      <c r="C34">
        <f>B$30*SIN(B34*PI()/180)</f>
        <v>1.9250073040791309</v>
      </c>
    </row>
    <row r="35" spans="2:3" x14ac:dyDescent="0.25">
      <c r="B35">
        <v>35</v>
      </c>
      <c r="C35">
        <f>B$30*SIN(B35*PI()/180)</f>
        <v>1.3479046254249583</v>
      </c>
    </row>
    <row r="36" spans="2:3" x14ac:dyDescent="0.25">
      <c r="C36">
        <f>C34+C35</f>
        <v>3.2729119295040894</v>
      </c>
    </row>
    <row r="37" spans="2:3" x14ac:dyDescent="0.25">
      <c r="C37">
        <f>0.92</f>
        <v>0.92</v>
      </c>
    </row>
    <row r="38" spans="2:3" x14ac:dyDescent="0.25">
      <c r="C38">
        <f>C36/C37</f>
        <v>3.5575129668522707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5:P93"/>
  <sheetViews>
    <sheetView workbookViewId="0">
      <selection activeCell="N34" sqref="N34"/>
    </sheetView>
  </sheetViews>
  <sheetFormatPr defaultRowHeight="15" x14ac:dyDescent="0.25"/>
  <cols>
    <col min="4" max="4" width="14.42578125" customWidth="1"/>
    <col min="5" max="5" width="7.7109375" customWidth="1"/>
    <col min="6" max="7" width="7" customWidth="1"/>
    <col min="8" max="9" width="7.7109375" customWidth="1"/>
    <col min="10" max="10" width="5" customWidth="1"/>
    <col min="11" max="11" width="5.42578125" customWidth="1"/>
    <col min="12" max="12" width="4.85546875" customWidth="1"/>
  </cols>
  <sheetData>
    <row r="5" spans="4:9" x14ac:dyDescent="0.25">
      <c r="D5" t="s">
        <v>6</v>
      </c>
      <c r="E5">
        <v>1.5</v>
      </c>
    </row>
    <row r="6" spans="4:9" x14ac:dyDescent="0.25">
      <c r="E6" s="3">
        <f>E16-E7</f>
        <v>1.5707963267948963</v>
      </c>
    </row>
    <row r="7" spans="4:9" x14ac:dyDescent="0.25">
      <c r="D7" s="5">
        <v>35</v>
      </c>
      <c r="E7" s="4">
        <f>D7*PI()/180</f>
        <v>0.6108652381980153</v>
      </c>
      <c r="F7" s="4">
        <f>($E$5/2)*(1-COS(PI()*(E7-$E$7)/$E$6))</f>
        <v>0</v>
      </c>
      <c r="G7" s="7">
        <f>($E$5/2)*(PI()/$E$6)*SIN(PI()*(E7-$E$7)/$E$6)</f>
        <v>0</v>
      </c>
      <c r="H7" s="6">
        <f>($E$5/2)*((PI()/$E$6)^2)*COS(PI()*(E7-$E$7)/$E$6)</f>
        <v>3.0000000000000013</v>
      </c>
    </row>
    <row r="8" spans="4:9" x14ac:dyDescent="0.25">
      <c r="D8" s="5">
        <v>45</v>
      </c>
      <c r="E8" s="4">
        <f t="shared" ref="E8:E16" si="0">D8*PI()/180</f>
        <v>0.78539816339744828</v>
      </c>
      <c r="F8" s="4">
        <f t="shared" ref="F8:F16" si="1">($E$5/2)*(1-COS(PI()*(E8-$E$7)/$E$6))</f>
        <v>4.5230534410568762E-2</v>
      </c>
      <c r="G8" s="7">
        <f>($E$5/2)*(PI()/$E$6)*SIN(PI()*(E8-$E$7)/$E$6)</f>
        <v>0.51303021498850332</v>
      </c>
      <c r="H8" s="6">
        <f t="shared" ref="H8:H16" si="2">($E$5/2)*((PI()/$E$6)^2)*COS(PI()*(E8-$E$7)/$E$6)</f>
        <v>2.8190778623577262</v>
      </c>
      <c r="I8" s="3"/>
    </row>
    <row r="9" spans="4:9" x14ac:dyDescent="0.25">
      <c r="D9" s="5">
        <v>55</v>
      </c>
      <c r="E9" s="4">
        <f t="shared" si="0"/>
        <v>0.95993108859688125</v>
      </c>
      <c r="F9" s="4">
        <f t="shared" si="1"/>
        <v>0.17546666766076649</v>
      </c>
      <c r="G9" s="7">
        <f t="shared" ref="G9:G16" si="3">($E$5/2)*(PI()/$E$6)*SIN(PI()*(E9-$E$7)/$E$6)</f>
        <v>0.96418141452980932</v>
      </c>
      <c r="H9" s="6">
        <f t="shared" si="2"/>
        <v>2.298133329356935</v>
      </c>
      <c r="I9" s="3"/>
    </row>
    <row r="10" spans="4:9" x14ac:dyDescent="0.25">
      <c r="D10" s="5">
        <v>65</v>
      </c>
      <c r="E10" s="4">
        <f t="shared" si="0"/>
        <v>1.1344640137963142</v>
      </c>
      <c r="F10" s="4">
        <f t="shared" si="1"/>
        <v>0.37500000000000017</v>
      </c>
      <c r="G10" s="7">
        <f t="shared" si="3"/>
        <v>1.2990381056766587</v>
      </c>
      <c r="H10" s="6">
        <f t="shared" si="2"/>
        <v>1.4999999999999998</v>
      </c>
      <c r="I10" s="3"/>
    </row>
    <row r="11" spans="4:9" x14ac:dyDescent="0.25">
      <c r="D11" s="5">
        <v>75</v>
      </c>
      <c r="E11" s="4">
        <f t="shared" si="0"/>
        <v>1.3089969389957472</v>
      </c>
      <c r="F11" s="4">
        <f t="shared" si="1"/>
        <v>0.61976386674980233</v>
      </c>
      <c r="G11" s="7">
        <f t="shared" si="3"/>
        <v>1.4772116295183126</v>
      </c>
      <c r="H11" s="6">
        <f t="shared" si="2"/>
        <v>0.52094453300079091</v>
      </c>
      <c r="I11" s="3"/>
    </row>
    <row r="12" spans="4:9" x14ac:dyDescent="0.25">
      <c r="D12" s="5">
        <v>85</v>
      </c>
      <c r="E12" s="4">
        <f t="shared" si="0"/>
        <v>1.4835298641951802</v>
      </c>
      <c r="F12" s="4">
        <f t="shared" si="1"/>
        <v>0.88023613325019801</v>
      </c>
      <c r="G12" s="7">
        <f t="shared" si="3"/>
        <v>1.4772116295183124</v>
      </c>
      <c r="H12" s="6">
        <f t="shared" si="2"/>
        <v>-0.52094453300079246</v>
      </c>
      <c r="I12" s="3"/>
    </row>
    <row r="13" spans="4:9" x14ac:dyDescent="0.25">
      <c r="D13" s="5">
        <v>95</v>
      </c>
      <c r="E13" s="4">
        <f t="shared" si="0"/>
        <v>1.6580627893946132</v>
      </c>
      <c r="F13" s="4">
        <f t="shared" si="1"/>
        <v>1.1250000000000004</v>
      </c>
      <c r="G13" s="7">
        <f t="shared" si="3"/>
        <v>1.2990381056766578</v>
      </c>
      <c r="H13" s="6">
        <f t="shared" si="2"/>
        <v>-1.5000000000000022</v>
      </c>
      <c r="I13" s="3"/>
    </row>
    <row r="14" spans="4:9" x14ac:dyDescent="0.25">
      <c r="D14" s="5">
        <v>105</v>
      </c>
      <c r="E14" s="4">
        <f t="shared" si="0"/>
        <v>1.8325957145940461</v>
      </c>
      <c r="F14" s="4">
        <f t="shared" si="1"/>
        <v>1.3245333323392336</v>
      </c>
      <c r="G14" s="7">
        <f t="shared" si="3"/>
        <v>0.96418141452980854</v>
      </c>
      <c r="H14" s="6">
        <f t="shared" si="2"/>
        <v>-2.2981333293569364</v>
      </c>
      <c r="I14" s="3"/>
    </row>
    <row r="15" spans="4:9" x14ac:dyDescent="0.25">
      <c r="D15" s="5">
        <v>115</v>
      </c>
      <c r="E15" s="4">
        <f t="shared" si="0"/>
        <v>2.0071286397934789</v>
      </c>
      <c r="F15" s="4">
        <f t="shared" si="1"/>
        <v>1.4547694655894312</v>
      </c>
      <c r="G15" s="7">
        <f t="shared" si="3"/>
        <v>0.51303021498850288</v>
      </c>
      <c r="H15" s="6">
        <f t="shared" si="2"/>
        <v>-2.8190778623577266</v>
      </c>
      <c r="I15" s="3"/>
    </row>
    <row r="16" spans="4:9" x14ac:dyDescent="0.25">
      <c r="D16" s="5">
        <v>125</v>
      </c>
      <c r="E16" s="4">
        <f t="shared" si="0"/>
        <v>2.1816615649929116</v>
      </c>
      <c r="F16" s="4">
        <f t="shared" si="1"/>
        <v>1.5</v>
      </c>
      <c r="G16" s="7">
        <f t="shared" si="3"/>
        <v>1.8377226823629305E-16</v>
      </c>
      <c r="H16" s="6">
        <f t="shared" si="2"/>
        <v>-3.0000000000000013</v>
      </c>
      <c r="I16" s="3"/>
    </row>
    <row r="18" spans="4:16" x14ac:dyDescent="0.25">
      <c r="D18" t="s">
        <v>11</v>
      </c>
    </row>
    <row r="20" spans="4:16" x14ac:dyDescent="0.25">
      <c r="D20" s="8" t="s">
        <v>7</v>
      </c>
      <c r="E20" s="3"/>
    </row>
    <row r="21" spans="4:16" x14ac:dyDescent="0.25">
      <c r="D21" s="9"/>
      <c r="E21" s="4"/>
      <c r="F21" s="4"/>
      <c r="G21" s="7"/>
    </row>
    <row r="22" spans="4:16" x14ac:dyDescent="0.25">
      <c r="D22" s="10" t="s">
        <v>8</v>
      </c>
      <c r="E22" s="4"/>
      <c r="F22" s="4"/>
      <c r="G22" s="7"/>
      <c r="H22" s="3"/>
      <c r="I22" s="3"/>
    </row>
    <row r="23" spans="4:16" x14ac:dyDescent="0.25">
      <c r="E23" s="4"/>
      <c r="F23" s="4"/>
      <c r="G23" s="7"/>
      <c r="H23" s="3"/>
      <c r="I23" s="3"/>
    </row>
    <row r="24" spans="4:16" x14ac:dyDescent="0.25">
      <c r="D24" s="11" t="s">
        <v>9</v>
      </c>
      <c r="E24" s="4"/>
      <c r="F24" s="4"/>
      <c r="G24" s="7"/>
      <c r="H24" s="3"/>
      <c r="I24" s="3"/>
    </row>
    <row r="25" spans="4:16" x14ac:dyDescent="0.25">
      <c r="D25" s="9"/>
      <c r="E25" s="4"/>
      <c r="F25" s="4"/>
      <c r="G25" s="7"/>
      <c r="H25" s="3"/>
      <c r="I25" s="3"/>
    </row>
    <row r="26" spans="4:16" x14ac:dyDescent="0.25">
      <c r="D26" s="10" t="s">
        <v>10</v>
      </c>
      <c r="E26" s="4"/>
      <c r="F26" s="4"/>
      <c r="G26" s="7"/>
      <c r="H26" s="3"/>
      <c r="I26" s="3"/>
    </row>
    <row r="27" spans="4:16" x14ac:dyDescent="0.25">
      <c r="D27" s="5"/>
      <c r="E27" s="4"/>
      <c r="F27" s="4"/>
      <c r="G27" s="7"/>
      <c r="H27" s="3"/>
      <c r="I27" s="3"/>
    </row>
    <row r="28" spans="4:16" x14ac:dyDescent="0.25">
      <c r="D28" s="12"/>
      <c r="E28" s="4"/>
      <c r="F28" s="4"/>
      <c r="G28" s="7"/>
      <c r="H28" s="3"/>
      <c r="I28" s="3"/>
    </row>
    <row r="29" spans="4:16" x14ac:dyDescent="0.25">
      <c r="D29" s="12"/>
      <c r="E29" s="4"/>
      <c r="F29" s="4"/>
      <c r="G29" s="7"/>
      <c r="H29" s="3"/>
      <c r="I29" s="3"/>
    </row>
    <row r="30" spans="4:16" x14ac:dyDescent="0.25">
      <c r="D30" s="12" t="s">
        <v>18</v>
      </c>
      <c r="E30" s="4" t="s">
        <v>19</v>
      </c>
      <c r="F30" s="4" t="s">
        <v>20</v>
      </c>
      <c r="G30" s="7" t="s">
        <v>21</v>
      </c>
      <c r="H30" s="3" t="s">
        <v>22</v>
      </c>
      <c r="I30" s="3" t="s">
        <v>23</v>
      </c>
      <c r="J30" t="s">
        <v>24</v>
      </c>
      <c r="K30" t="s">
        <v>25</v>
      </c>
      <c r="L30" t="s">
        <v>26</v>
      </c>
      <c r="N30" s="4" t="s">
        <v>20</v>
      </c>
      <c r="O30" s="7"/>
      <c r="P30" s="3" t="s">
        <v>22</v>
      </c>
    </row>
    <row r="31" spans="4:16" x14ac:dyDescent="0.25">
      <c r="D31" s="12" t="s">
        <v>27</v>
      </c>
      <c r="E31" t="s">
        <v>28</v>
      </c>
      <c r="F31" t="s">
        <v>28</v>
      </c>
      <c r="G31" t="s">
        <v>28</v>
      </c>
      <c r="H31" t="s">
        <v>28</v>
      </c>
      <c r="N31" t="s">
        <v>28</v>
      </c>
      <c r="P31" t="s">
        <v>28</v>
      </c>
    </row>
    <row r="32" spans="4:16" x14ac:dyDescent="0.25">
      <c r="D32" s="13" t="s">
        <v>29</v>
      </c>
    </row>
    <row r="33" spans="4:16" x14ac:dyDescent="0.25">
      <c r="D33">
        <v>0</v>
      </c>
      <c r="F33">
        <v>0</v>
      </c>
      <c r="H33">
        <v>0</v>
      </c>
      <c r="J33">
        <v>0</v>
      </c>
      <c r="L33">
        <v>0</v>
      </c>
      <c r="M33">
        <f>D33*PI()/180</f>
        <v>0</v>
      </c>
      <c r="N33">
        <f>J33*COS(M33)-L33*SIN(M33)</f>
        <v>0</v>
      </c>
      <c r="P33">
        <f>J33*SIN(M33)+L33*COS(M33)</f>
        <v>0</v>
      </c>
    </row>
    <row r="34" spans="4:16" x14ac:dyDescent="0.25">
      <c r="D34">
        <v>10</v>
      </c>
      <c r="F34">
        <v>0.86280000000000001</v>
      </c>
      <c r="H34">
        <v>2.0899999999999998E-2</v>
      </c>
      <c r="J34">
        <v>0.85329999999999995</v>
      </c>
      <c r="L34">
        <v>-0.1293</v>
      </c>
      <c r="M34">
        <f t="shared" ref="M34:M52" si="4">D34*PI()/180</f>
        <v>0.17453292519943295</v>
      </c>
      <c r="N34">
        <f t="shared" ref="N34:N52" si="5">J34*COS(M34)-L34*SIN(M34)</f>
        <v>0.86278916501765113</v>
      </c>
      <c r="P34">
        <f t="shared" ref="P34:P52" si="6">J34*SIN(M34)+L34*COS(M34)</f>
        <v>2.0838347538713164E-2</v>
      </c>
    </row>
    <row r="35" spans="4:16" x14ac:dyDescent="0.25">
      <c r="D35">
        <v>15</v>
      </c>
      <c r="F35">
        <v>1.0314000000000001</v>
      </c>
      <c r="H35">
        <v>5.7700000000000001E-2</v>
      </c>
      <c r="J35">
        <v>1.0112000000000001</v>
      </c>
      <c r="L35">
        <v>-0.2112</v>
      </c>
      <c r="M35">
        <f t="shared" si="4"/>
        <v>0.26179938779914941</v>
      </c>
      <c r="N35">
        <f t="shared" si="5"/>
        <v>1.0314067778691585</v>
      </c>
      <c r="P35">
        <f t="shared" si="6"/>
        <v>5.7714283895417773E-2</v>
      </c>
    </row>
    <row r="36" spans="4:16" x14ac:dyDescent="0.25">
      <c r="D36">
        <v>17</v>
      </c>
      <c r="F36">
        <v>0.58020000000000005</v>
      </c>
      <c r="H36">
        <v>0.21640000000000001</v>
      </c>
      <c r="J36">
        <v>0.61809999999999998</v>
      </c>
      <c r="L36">
        <v>3.73E-2</v>
      </c>
      <c r="M36">
        <f t="shared" si="4"/>
        <v>0.29670597283903605</v>
      </c>
      <c r="N36">
        <f t="shared" si="5"/>
        <v>0.58018650507459413</v>
      </c>
      <c r="P36">
        <f t="shared" si="6"/>
        <v>0.21638511808654481</v>
      </c>
    </row>
    <row r="37" spans="4:16" x14ac:dyDescent="0.25">
      <c r="D37">
        <v>23</v>
      </c>
      <c r="F37">
        <v>0.57520000000000004</v>
      </c>
      <c r="H37">
        <v>0.33779999999999999</v>
      </c>
      <c r="J37">
        <v>0.66149999999999998</v>
      </c>
      <c r="L37">
        <v>8.6199999999999999E-2</v>
      </c>
      <c r="M37">
        <f t="shared" si="4"/>
        <v>0.40142572795869574</v>
      </c>
      <c r="N37">
        <f t="shared" si="5"/>
        <v>0.57523293728301395</v>
      </c>
      <c r="P37">
        <f t="shared" si="6"/>
        <v>0.33781615986325492</v>
      </c>
    </row>
    <row r="38" spans="4:16" x14ac:dyDescent="0.25">
      <c r="D38">
        <v>33</v>
      </c>
      <c r="F38">
        <v>0.88260000000000005</v>
      </c>
      <c r="H38">
        <v>0.69710000000000005</v>
      </c>
      <c r="J38">
        <v>1.1198999999999999</v>
      </c>
      <c r="L38">
        <v>0.10390000000000001</v>
      </c>
      <c r="M38">
        <f t="shared" si="4"/>
        <v>0.57595865315812877</v>
      </c>
      <c r="N38">
        <f t="shared" si="5"/>
        <v>0.88263917330401898</v>
      </c>
      <c r="P38">
        <f t="shared" si="6"/>
        <v>0.69707912732285837</v>
      </c>
    </row>
    <row r="39" spans="4:16" x14ac:dyDescent="0.25">
      <c r="D39">
        <v>45</v>
      </c>
      <c r="F39">
        <v>0.96199999999999997</v>
      </c>
      <c r="H39">
        <v>1.0828</v>
      </c>
      <c r="J39">
        <v>1.4459</v>
      </c>
      <c r="L39">
        <v>8.5400000000000004E-2</v>
      </c>
      <c r="M39">
        <f t="shared" si="4"/>
        <v>0.78539816339744828</v>
      </c>
      <c r="N39">
        <f t="shared" si="5"/>
        <v>0.96201877580429784</v>
      </c>
      <c r="P39">
        <f t="shared" si="6"/>
        <v>1.0827926140309603</v>
      </c>
    </row>
    <row r="40" spans="4:16" x14ac:dyDescent="0.25">
      <c r="D40">
        <v>55</v>
      </c>
      <c r="F40">
        <v>0.8579</v>
      </c>
      <c r="H40">
        <v>1.421</v>
      </c>
      <c r="J40">
        <v>1.6560999999999999</v>
      </c>
      <c r="L40">
        <v>0.1123</v>
      </c>
      <c r="M40">
        <f t="shared" si="4"/>
        <v>0.95993108859688125</v>
      </c>
      <c r="N40">
        <f t="shared" si="5"/>
        <v>0.85790916166731368</v>
      </c>
      <c r="P40">
        <f t="shared" si="6"/>
        <v>1.4210103343492215</v>
      </c>
    </row>
    <row r="41" spans="4:16" x14ac:dyDescent="0.25">
      <c r="D41">
        <v>70</v>
      </c>
      <c r="F41">
        <v>0.56030000000000002</v>
      </c>
      <c r="H41">
        <v>1.6585000000000001</v>
      </c>
      <c r="J41">
        <v>1.7501</v>
      </c>
      <c r="L41">
        <v>4.07E-2</v>
      </c>
      <c r="M41">
        <f t="shared" si="4"/>
        <v>1.2217304763960306</v>
      </c>
      <c r="N41">
        <f t="shared" si="5"/>
        <v>0.56032396316826649</v>
      </c>
      <c r="P41">
        <f t="shared" si="6"/>
        <v>1.6584762754707729</v>
      </c>
    </row>
    <row r="42" spans="4:16" x14ac:dyDescent="0.25">
      <c r="D42">
        <v>80</v>
      </c>
      <c r="F42">
        <v>0.32729999999999998</v>
      </c>
      <c r="H42">
        <v>1.8009999999999999</v>
      </c>
      <c r="J42">
        <v>1.8305</v>
      </c>
      <c r="L42">
        <v>-9.5999999999999992E-3</v>
      </c>
      <c r="M42">
        <f t="shared" si="4"/>
        <v>1.3962634015954636</v>
      </c>
      <c r="N42">
        <f t="shared" si="5"/>
        <v>0.32731714364823328</v>
      </c>
      <c r="P42">
        <f t="shared" si="6"/>
        <v>1.8010235693832441</v>
      </c>
    </row>
    <row r="43" spans="4:16" x14ac:dyDescent="0.25">
      <c r="D43">
        <v>90</v>
      </c>
      <c r="F43">
        <v>7.4399999999999994E-2</v>
      </c>
      <c r="H43">
        <v>1.8376999999999999</v>
      </c>
      <c r="J43">
        <v>1.8376999999999999</v>
      </c>
      <c r="L43">
        <v>-7.4399999999999994E-2</v>
      </c>
      <c r="M43">
        <f t="shared" si="4"/>
        <v>1.5707963267948966</v>
      </c>
      <c r="N43">
        <f t="shared" si="5"/>
        <v>7.4400000000000105E-2</v>
      </c>
      <c r="P43">
        <f t="shared" si="6"/>
        <v>1.8376999999999999</v>
      </c>
    </row>
    <row r="44" spans="4:16" x14ac:dyDescent="0.25">
      <c r="D44" s="12">
        <v>100</v>
      </c>
      <c r="F44">
        <v>-0.1835</v>
      </c>
      <c r="H44">
        <v>1.7581</v>
      </c>
      <c r="J44">
        <v>1.7632000000000001</v>
      </c>
      <c r="L44">
        <v>-0.1246</v>
      </c>
      <c r="M44">
        <f t="shared" si="4"/>
        <v>1.7453292519943295</v>
      </c>
      <c r="N44">
        <f t="shared" si="5"/>
        <v>-0.1834694208370104</v>
      </c>
      <c r="P44">
        <f t="shared" si="6"/>
        <v>1.7580495930484248</v>
      </c>
    </row>
    <row r="45" spans="4:16" x14ac:dyDescent="0.25">
      <c r="D45" s="12">
        <v>110</v>
      </c>
      <c r="F45">
        <v>-0.42649999999999999</v>
      </c>
      <c r="H45">
        <v>1.6362000000000001</v>
      </c>
      <c r="J45">
        <v>1.6834</v>
      </c>
      <c r="L45">
        <v>-0.15890000000000001</v>
      </c>
      <c r="M45">
        <f t="shared" si="4"/>
        <v>1.9198621771937625</v>
      </c>
      <c r="N45">
        <f t="shared" si="5"/>
        <v>-0.4264395518315498</v>
      </c>
      <c r="P45">
        <f t="shared" si="6"/>
        <v>1.6362255586054468</v>
      </c>
    </row>
    <row r="46" spans="4:16" x14ac:dyDescent="0.25">
      <c r="D46" s="12">
        <v>120</v>
      </c>
      <c r="F46">
        <v>-0.62980000000000003</v>
      </c>
      <c r="H46">
        <v>1.5037</v>
      </c>
      <c r="J46">
        <v>1.6171</v>
      </c>
      <c r="L46">
        <v>-0.20649999999999999</v>
      </c>
      <c r="M46">
        <f t="shared" si="4"/>
        <v>2.0943951023931953</v>
      </c>
      <c r="N46">
        <f t="shared" si="5"/>
        <v>-0.6297157541185131</v>
      </c>
      <c r="P46">
        <f t="shared" si="6"/>
        <v>1.5036996804598157</v>
      </c>
    </row>
    <row r="47" spans="4:16" x14ac:dyDescent="0.25">
      <c r="D47" s="12">
        <v>130</v>
      </c>
      <c r="F47">
        <v>-0.81320000000000003</v>
      </c>
      <c r="H47">
        <v>1.2601</v>
      </c>
      <c r="J47">
        <v>1.488</v>
      </c>
      <c r="L47">
        <v>-0.187</v>
      </c>
      <c r="M47">
        <f t="shared" si="4"/>
        <v>2.2689280275926285</v>
      </c>
      <c r="N47">
        <f t="shared" si="5"/>
        <v>-0.81321765235032162</v>
      </c>
      <c r="P47">
        <f t="shared" si="6"/>
        <v>1.260075414372422</v>
      </c>
    </row>
    <row r="48" spans="4:16" x14ac:dyDescent="0.25">
      <c r="D48" s="12">
        <v>140</v>
      </c>
      <c r="F48">
        <v>-0.89749999999999996</v>
      </c>
      <c r="H48">
        <v>0.9425</v>
      </c>
      <c r="J48">
        <v>1.2934000000000001</v>
      </c>
      <c r="L48">
        <v>-0.14510000000000001</v>
      </c>
      <c r="M48">
        <f t="shared" si="4"/>
        <v>2.4434609527920612</v>
      </c>
      <c r="N48">
        <f t="shared" si="5"/>
        <v>-0.89753340056456921</v>
      </c>
      <c r="P48">
        <f t="shared" si="6"/>
        <v>0.94253454306513396</v>
      </c>
    </row>
    <row r="49" spans="4:16" x14ac:dyDescent="0.25">
      <c r="D49" s="12">
        <v>150</v>
      </c>
      <c r="F49">
        <v>-0.70409999999999995</v>
      </c>
      <c r="H49">
        <v>0.6038</v>
      </c>
      <c r="J49">
        <v>0.91169999999999995</v>
      </c>
      <c r="L49">
        <v>-0.17080000000000001</v>
      </c>
      <c r="M49">
        <f t="shared" si="4"/>
        <v>2.6179938779914944</v>
      </c>
      <c r="N49">
        <f t="shared" si="5"/>
        <v>-0.70415536063027273</v>
      </c>
      <c r="P49">
        <f t="shared" si="6"/>
        <v>0.60376713896638212</v>
      </c>
    </row>
    <row r="50" spans="4:16" x14ac:dyDescent="0.25">
      <c r="D50" s="12">
        <v>160</v>
      </c>
      <c r="F50">
        <v>-0.58020000000000005</v>
      </c>
      <c r="H50">
        <v>0.31259999999999999</v>
      </c>
      <c r="J50">
        <v>0.65210000000000001</v>
      </c>
      <c r="L50">
        <v>-9.5299999999999996E-2</v>
      </c>
      <c r="M50">
        <f t="shared" si="4"/>
        <v>2.7925268031909272</v>
      </c>
      <c r="N50">
        <f t="shared" si="5"/>
        <v>-0.58017903835555462</v>
      </c>
      <c r="P50">
        <f t="shared" si="6"/>
        <v>0.31258404222356573</v>
      </c>
    </row>
    <row r="51" spans="4:16" x14ac:dyDescent="0.25">
      <c r="D51">
        <v>170</v>
      </c>
      <c r="F51">
        <v>-0.81320000000000003</v>
      </c>
      <c r="H51">
        <v>0.13250000000000001</v>
      </c>
      <c r="J51">
        <v>0.82389999999999997</v>
      </c>
      <c r="L51">
        <v>1.0699999999999999E-2</v>
      </c>
      <c r="M51">
        <f t="shared" si="4"/>
        <v>2.9670597283903604</v>
      </c>
      <c r="N51">
        <f t="shared" si="5"/>
        <v>-0.81324114320779428</v>
      </c>
      <c r="P51">
        <f t="shared" si="6"/>
        <v>0.1325312906225532</v>
      </c>
    </row>
    <row r="52" spans="4:16" x14ac:dyDescent="0.25">
      <c r="D52">
        <v>180</v>
      </c>
      <c r="F52">
        <v>0</v>
      </c>
      <c r="H52">
        <v>0</v>
      </c>
      <c r="J52">
        <v>0</v>
      </c>
      <c r="L52">
        <v>0</v>
      </c>
      <c r="M52">
        <f t="shared" si="4"/>
        <v>3.1415926535897931</v>
      </c>
      <c r="N52">
        <f t="shared" si="5"/>
        <v>0</v>
      </c>
      <c r="P52">
        <f t="shared" si="6"/>
        <v>0</v>
      </c>
    </row>
    <row r="55" spans="4:16" x14ac:dyDescent="0.25">
      <c r="D55">
        <v>0</v>
      </c>
      <c r="E55">
        <v>0</v>
      </c>
      <c r="F55">
        <v>0</v>
      </c>
    </row>
    <row r="56" spans="4:16" x14ac:dyDescent="0.25">
      <c r="D56">
        <v>10</v>
      </c>
      <c r="E56">
        <v>0.85329999999999995</v>
      </c>
      <c r="F56">
        <v>-0.1293</v>
      </c>
    </row>
    <row r="57" spans="4:16" x14ac:dyDescent="0.25">
      <c r="D57">
        <v>15</v>
      </c>
      <c r="E57">
        <v>1.0112000000000001</v>
      </c>
      <c r="F57">
        <v>-0.2112</v>
      </c>
    </row>
    <row r="58" spans="4:16" x14ac:dyDescent="0.25">
      <c r="D58">
        <v>17</v>
      </c>
      <c r="E58">
        <v>0.61809999999999998</v>
      </c>
      <c r="F58">
        <v>3.73E-2</v>
      </c>
    </row>
    <row r="59" spans="4:16" x14ac:dyDescent="0.25">
      <c r="D59">
        <v>23</v>
      </c>
      <c r="E59">
        <v>0.66149999999999998</v>
      </c>
      <c r="F59">
        <v>8.6199999999999999E-2</v>
      </c>
    </row>
    <row r="60" spans="4:16" x14ac:dyDescent="0.25">
      <c r="D60">
        <v>33</v>
      </c>
      <c r="E60">
        <v>1.1198999999999999</v>
      </c>
      <c r="F60">
        <v>0.10390000000000001</v>
      </c>
    </row>
    <row r="61" spans="4:16" x14ac:dyDescent="0.25">
      <c r="D61">
        <v>45</v>
      </c>
      <c r="E61">
        <v>1.4459</v>
      </c>
      <c r="F61">
        <v>8.5400000000000004E-2</v>
      </c>
    </row>
    <row r="62" spans="4:16" x14ac:dyDescent="0.25">
      <c r="D62">
        <v>55</v>
      </c>
      <c r="E62">
        <v>1.6560999999999999</v>
      </c>
      <c r="F62">
        <v>0.1123</v>
      </c>
    </row>
    <row r="63" spans="4:16" x14ac:dyDescent="0.25">
      <c r="D63">
        <v>70</v>
      </c>
      <c r="E63">
        <v>1.7501</v>
      </c>
      <c r="F63">
        <v>4.07E-2</v>
      </c>
    </row>
    <row r="64" spans="4:16" x14ac:dyDescent="0.25">
      <c r="D64">
        <v>80</v>
      </c>
      <c r="E64">
        <v>1.8305</v>
      </c>
      <c r="F64">
        <v>-9.5999999999999992E-3</v>
      </c>
    </row>
    <row r="65" spans="4:6" x14ac:dyDescent="0.25">
      <c r="D65">
        <v>90</v>
      </c>
      <c r="E65">
        <v>1.8376999999999999</v>
      </c>
      <c r="F65">
        <v>-7.4399999999999994E-2</v>
      </c>
    </row>
    <row r="66" spans="4:6" x14ac:dyDescent="0.25">
      <c r="D66" s="12">
        <v>100</v>
      </c>
      <c r="E66">
        <v>1.7632000000000001</v>
      </c>
      <c r="F66">
        <v>-0.1246</v>
      </c>
    </row>
    <row r="67" spans="4:6" x14ac:dyDescent="0.25">
      <c r="D67" s="12">
        <v>110</v>
      </c>
      <c r="E67">
        <v>1.6834</v>
      </c>
      <c r="F67">
        <v>-0.15890000000000001</v>
      </c>
    </row>
    <row r="68" spans="4:6" x14ac:dyDescent="0.25">
      <c r="D68" s="12">
        <v>120</v>
      </c>
      <c r="E68">
        <v>1.6171</v>
      </c>
      <c r="F68">
        <v>-0.20649999999999999</v>
      </c>
    </row>
    <row r="69" spans="4:6" x14ac:dyDescent="0.25">
      <c r="D69" s="12">
        <v>130</v>
      </c>
      <c r="E69">
        <v>1.488</v>
      </c>
      <c r="F69">
        <v>-0.187</v>
      </c>
    </row>
    <row r="70" spans="4:6" x14ac:dyDescent="0.25">
      <c r="D70" s="12">
        <v>140</v>
      </c>
      <c r="E70">
        <v>1.2934000000000001</v>
      </c>
      <c r="F70">
        <v>-0.14510000000000001</v>
      </c>
    </row>
    <row r="71" spans="4:6" x14ac:dyDescent="0.25">
      <c r="D71" s="12">
        <v>150</v>
      </c>
      <c r="E71">
        <v>0.91169999999999995</v>
      </c>
      <c r="F71">
        <v>-0.17080000000000001</v>
      </c>
    </row>
    <row r="72" spans="4:6" x14ac:dyDescent="0.25">
      <c r="D72" s="12">
        <v>160</v>
      </c>
      <c r="E72">
        <v>0.65210000000000001</v>
      </c>
      <c r="F72">
        <v>-9.5299999999999996E-2</v>
      </c>
    </row>
    <row r="73" spans="4:6" x14ac:dyDescent="0.25">
      <c r="D73">
        <v>170</v>
      </c>
      <c r="E73">
        <v>0.82389999999999997</v>
      </c>
      <c r="F73">
        <v>1.0699999999999999E-2</v>
      </c>
    </row>
    <row r="74" spans="4:6" x14ac:dyDescent="0.25">
      <c r="D74">
        <v>180</v>
      </c>
      <c r="E74">
        <v>0</v>
      </c>
      <c r="F74">
        <v>0</v>
      </c>
    </row>
    <row r="75" spans="4:6" x14ac:dyDescent="0.25">
      <c r="D75">
        <f ca="1">-1*INDIRECT("D"&amp;ROW()-2*(ROW()-74))</f>
        <v>-170</v>
      </c>
      <c r="E75">
        <f ca="1">INDIRECT("e"&amp;ROW()-2*(ROW()-74))</f>
        <v>0.82389999999999997</v>
      </c>
      <c r="F75">
        <v>-0.1293</v>
      </c>
    </row>
    <row r="76" spans="4:6" x14ac:dyDescent="0.25">
      <c r="D76">
        <f t="shared" ref="D76:D93" ca="1" si="7">-1*INDIRECT("D"&amp;ROW()-2*(ROW()-74))</f>
        <v>-160</v>
      </c>
      <c r="E76">
        <f t="shared" ref="E76:E93" ca="1" si="8">INDIRECT("e"&amp;ROW()-2*(ROW()-74))</f>
        <v>0.65210000000000001</v>
      </c>
      <c r="F76">
        <v>-0.2112</v>
      </c>
    </row>
    <row r="77" spans="4:6" x14ac:dyDescent="0.25">
      <c r="D77">
        <f t="shared" ca="1" si="7"/>
        <v>-150</v>
      </c>
      <c r="E77">
        <f t="shared" ca="1" si="8"/>
        <v>0.91169999999999995</v>
      </c>
      <c r="F77">
        <v>3.73E-2</v>
      </c>
    </row>
    <row r="78" spans="4:6" x14ac:dyDescent="0.25">
      <c r="D78">
        <f t="shared" ca="1" si="7"/>
        <v>-140</v>
      </c>
      <c r="E78">
        <f t="shared" ca="1" si="8"/>
        <v>1.2934000000000001</v>
      </c>
      <c r="F78">
        <v>8.6199999999999999E-2</v>
      </c>
    </row>
    <row r="79" spans="4:6" x14ac:dyDescent="0.25">
      <c r="D79">
        <f t="shared" ca="1" si="7"/>
        <v>-130</v>
      </c>
      <c r="E79">
        <f t="shared" ca="1" si="8"/>
        <v>1.488</v>
      </c>
      <c r="F79">
        <v>0.10390000000000001</v>
      </c>
    </row>
    <row r="80" spans="4:6" x14ac:dyDescent="0.25">
      <c r="D80">
        <f t="shared" ca="1" si="7"/>
        <v>-120</v>
      </c>
      <c r="E80">
        <f t="shared" ca="1" si="8"/>
        <v>1.6171</v>
      </c>
      <c r="F80">
        <v>8.5400000000000004E-2</v>
      </c>
    </row>
    <row r="81" spans="4:6" x14ac:dyDescent="0.25">
      <c r="D81">
        <f t="shared" ca="1" si="7"/>
        <v>-110</v>
      </c>
      <c r="E81">
        <f t="shared" ca="1" si="8"/>
        <v>1.6834</v>
      </c>
      <c r="F81">
        <v>0.1123</v>
      </c>
    </row>
    <row r="82" spans="4:6" x14ac:dyDescent="0.25">
      <c r="D82">
        <f t="shared" ca="1" si="7"/>
        <v>-100</v>
      </c>
      <c r="E82">
        <f t="shared" ca="1" si="8"/>
        <v>1.7632000000000001</v>
      </c>
      <c r="F82">
        <v>4.07E-2</v>
      </c>
    </row>
    <row r="83" spans="4:6" x14ac:dyDescent="0.25">
      <c r="D83">
        <f t="shared" ca="1" si="7"/>
        <v>-90</v>
      </c>
      <c r="E83">
        <f t="shared" ca="1" si="8"/>
        <v>1.8376999999999999</v>
      </c>
      <c r="F83">
        <v>-9.5999999999999992E-3</v>
      </c>
    </row>
    <row r="84" spans="4:6" x14ac:dyDescent="0.25">
      <c r="D84">
        <f t="shared" ca="1" si="7"/>
        <v>-80</v>
      </c>
      <c r="E84">
        <f t="shared" ca="1" si="8"/>
        <v>1.8305</v>
      </c>
      <c r="F84">
        <v>-7.4399999999999994E-2</v>
      </c>
    </row>
    <row r="85" spans="4:6" x14ac:dyDescent="0.25">
      <c r="D85">
        <f t="shared" ca="1" si="7"/>
        <v>-70</v>
      </c>
      <c r="E85">
        <f t="shared" ca="1" si="8"/>
        <v>1.7501</v>
      </c>
      <c r="F85">
        <v>-0.1246</v>
      </c>
    </row>
    <row r="86" spans="4:6" x14ac:dyDescent="0.25">
      <c r="D86">
        <f t="shared" ca="1" si="7"/>
        <v>-55</v>
      </c>
      <c r="E86">
        <f t="shared" ca="1" si="8"/>
        <v>1.6560999999999999</v>
      </c>
      <c r="F86">
        <v>-0.15890000000000001</v>
      </c>
    </row>
    <row r="87" spans="4:6" x14ac:dyDescent="0.25">
      <c r="D87">
        <f t="shared" ca="1" si="7"/>
        <v>-45</v>
      </c>
      <c r="E87">
        <f t="shared" ca="1" si="8"/>
        <v>1.4459</v>
      </c>
      <c r="F87">
        <v>-0.20649999999999999</v>
      </c>
    </row>
    <row r="88" spans="4:6" x14ac:dyDescent="0.25">
      <c r="D88">
        <f t="shared" ca="1" si="7"/>
        <v>-33</v>
      </c>
      <c r="E88">
        <f t="shared" ca="1" si="8"/>
        <v>1.1198999999999999</v>
      </c>
      <c r="F88">
        <v>-0.187</v>
      </c>
    </row>
    <row r="89" spans="4:6" x14ac:dyDescent="0.25">
      <c r="D89">
        <f t="shared" ca="1" si="7"/>
        <v>-23</v>
      </c>
      <c r="E89">
        <f t="shared" ca="1" si="8"/>
        <v>0.66149999999999998</v>
      </c>
      <c r="F89">
        <v>-0.14510000000000001</v>
      </c>
    </row>
    <row r="90" spans="4:6" x14ac:dyDescent="0.25">
      <c r="D90">
        <f t="shared" ca="1" si="7"/>
        <v>-17</v>
      </c>
      <c r="E90">
        <f t="shared" ca="1" si="8"/>
        <v>0.61809999999999998</v>
      </c>
      <c r="F90">
        <v>-0.17080000000000001</v>
      </c>
    </row>
    <row r="91" spans="4:6" x14ac:dyDescent="0.25">
      <c r="D91">
        <f t="shared" ca="1" si="7"/>
        <v>-15</v>
      </c>
      <c r="E91">
        <f t="shared" ca="1" si="8"/>
        <v>1.0112000000000001</v>
      </c>
      <c r="F91">
        <v>-9.5299999999999996E-2</v>
      </c>
    </row>
    <row r="92" spans="4:6" x14ac:dyDescent="0.25">
      <c r="D92">
        <f t="shared" ca="1" si="7"/>
        <v>-10</v>
      </c>
      <c r="E92">
        <f t="shared" ca="1" si="8"/>
        <v>0.85329999999999995</v>
      </c>
      <c r="F92">
        <v>1.0699999999999999E-2</v>
      </c>
    </row>
    <row r="93" spans="4:6" x14ac:dyDescent="0.25">
      <c r="D93">
        <f t="shared" ca="1" si="7"/>
        <v>0</v>
      </c>
      <c r="E93">
        <f t="shared" ca="1" si="8"/>
        <v>0</v>
      </c>
      <c r="F93">
        <v>0</v>
      </c>
    </row>
  </sheetData>
  <hyperlinks>
    <hyperlink ref="D24" r:id="rId1" display="https://www.grc.nasa.gov/www/k-12/airplane/trig.html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S80"/>
  <sheetViews>
    <sheetView tabSelected="1" workbookViewId="0">
      <selection activeCell="E54" sqref="E54"/>
    </sheetView>
  </sheetViews>
  <sheetFormatPr defaultRowHeight="15" x14ac:dyDescent="0.25"/>
  <cols>
    <col min="4" max="4" width="9.140625" style="5"/>
    <col min="8" max="10" width="10.7109375" customWidth="1"/>
    <col min="11" max="11" width="8.7109375" customWidth="1"/>
    <col min="12" max="13" width="12" customWidth="1"/>
  </cols>
  <sheetData>
    <row r="2" spans="2:19" x14ac:dyDescent="0.25">
      <c r="K2">
        <f>ATAN(0)</f>
        <v>0</v>
      </c>
    </row>
    <row r="4" spans="2:19" x14ac:dyDescent="0.25">
      <c r="B4" t="s">
        <v>14</v>
      </c>
      <c r="C4" t="s">
        <v>15</v>
      </c>
      <c r="F4" s="5" t="s">
        <v>12</v>
      </c>
      <c r="G4" s="5" t="s">
        <v>13</v>
      </c>
      <c r="H4" s="5" t="s">
        <v>16</v>
      </c>
      <c r="I4" s="5" t="s">
        <v>37</v>
      </c>
      <c r="J4" s="5" t="s">
        <v>38</v>
      </c>
      <c r="K4" s="5" t="s">
        <v>36</v>
      </c>
      <c r="L4" s="5" t="s">
        <v>17</v>
      </c>
      <c r="N4" s="14" t="s">
        <v>30</v>
      </c>
      <c r="O4" s="5" t="s">
        <v>31</v>
      </c>
      <c r="P4">
        <v>0.125</v>
      </c>
      <c r="Q4" s="5" t="s">
        <v>34</v>
      </c>
      <c r="R4" s="5" t="s">
        <v>35</v>
      </c>
      <c r="S4">
        <v>2.4</v>
      </c>
    </row>
    <row r="5" spans="2:19" x14ac:dyDescent="0.25">
      <c r="B5">
        <v>6</v>
      </c>
      <c r="C5">
        <v>2</v>
      </c>
      <c r="D5" s="5">
        <v>0</v>
      </c>
      <c r="E5" s="4">
        <f t="shared" ref="E5:E6" si="0">D5*PI()/180</f>
        <v>0</v>
      </c>
      <c r="F5">
        <f t="shared" ref="F5:F6" si="1">C5*SIN(E5)</f>
        <v>0</v>
      </c>
      <c r="G5">
        <f t="shared" ref="G5:G6" si="2">C5*COS(E5)</f>
        <v>2</v>
      </c>
      <c r="H5" s="3">
        <f>B5 - F5</f>
        <v>6</v>
      </c>
      <c r="I5" s="3">
        <f>SQRT(C5^2-(B5*sind(D5))^2)</f>
        <v>2</v>
      </c>
      <c r="J5" s="3">
        <f>B5*cosd(D5)</f>
        <v>6</v>
      </c>
      <c r="K5" s="3">
        <f>(180/PI())*(ATAN(G5/H5))</f>
        <v>18.43494882292201</v>
      </c>
      <c r="L5" s="4">
        <f>180/PI()*ATAN(I5/J5)</f>
        <v>18.43494882292201</v>
      </c>
      <c r="M5" s="7">
        <f>L5</f>
        <v>18.43494882292201</v>
      </c>
      <c r="N5">
        <f t="shared" ref="N5:N6" si="3">(G5^2+H5^2)^0.5</f>
        <v>6.324555320336759</v>
      </c>
      <c r="O5" t="e">
        <f t="shared" ref="O5:O6" si="4">Coppel_Polar(O$4,M5)</f>
        <v>#VALUE!</v>
      </c>
      <c r="P5" s="1" t="e">
        <f t="shared" ref="P5:P6" si="5">0.5*1000*O5*$P$4*N5^2</f>
        <v>#VALUE!</v>
      </c>
      <c r="Q5" s="20" t="e">
        <f t="shared" ref="Q5:Q6" si="6">P5*sind(D5)</f>
        <v>#VALUE!</v>
      </c>
      <c r="R5" s="20" t="e">
        <f t="shared" ref="R5:R6" si="7">P5*cosd(D5)</f>
        <v>#VALUE!</v>
      </c>
      <c r="S5">
        <f>C5/$S$4</f>
        <v>0.83333333333333337</v>
      </c>
    </row>
    <row r="6" spans="2:19" x14ac:dyDescent="0.25">
      <c r="B6">
        <v>6</v>
      </c>
      <c r="C6">
        <v>3</v>
      </c>
      <c r="D6" s="5">
        <v>10</v>
      </c>
      <c r="E6" s="4">
        <f t="shared" si="0"/>
        <v>0.17453292519943295</v>
      </c>
      <c r="F6">
        <f t="shared" si="1"/>
        <v>0.52094453300079102</v>
      </c>
      <c r="G6">
        <f t="shared" si="2"/>
        <v>2.9544232590366239</v>
      </c>
      <c r="H6" s="3">
        <f t="shared" ref="H6:H26" si="8">B6 - F6</f>
        <v>5.4790554669992089</v>
      </c>
      <c r="I6" s="3">
        <f t="shared" ref="I6:I26" si="9">SQRT(C6^2-(B6*sind(D6))^2)</f>
        <v>2.8132658631316176</v>
      </c>
      <c r="J6" s="3">
        <f t="shared" ref="J6:J26" si="10">B6*cosd(D6)</f>
        <v>5.9088463185855229</v>
      </c>
      <c r="K6" s="3">
        <f t="shared" ref="K6:K26" si="11">(180/PI())*(ATAN(G6/H6))</f>
        <v>28.33449043574424</v>
      </c>
      <c r="L6" s="4">
        <f t="shared" ref="L6:L26" si="12">180/PI()*ATAN(I6/J6)</f>
        <v>25.459626157801623</v>
      </c>
      <c r="M6" s="7">
        <f t="shared" ref="M6:M26" si="13">L6</f>
        <v>25.459626157801623</v>
      </c>
      <c r="N6">
        <f t="shared" si="3"/>
        <v>6.224842616804902</v>
      </c>
      <c r="O6" t="e">
        <f t="shared" si="4"/>
        <v>#VALUE!</v>
      </c>
      <c r="P6" s="1" t="e">
        <f t="shared" si="5"/>
        <v>#VALUE!</v>
      </c>
      <c r="Q6" s="20" t="e">
        <f t="shared" si="6"/>
        <v>#VALUE!</v>
      </c>
      <c r="R6" s="20" t="e">
        <f t="shared" si="7"/>
        <v>#VALUE!</v>
      </c>
      <c r="S6">
        <f t="shared" ref="S6:S26" si="14">C6/$S$4</f>
        <v>1.25</v>
      </c>
    </row>
    <row r="7" spans="2:19" x14ac:dyDescent="0.25">
      <c r="B7">
        <v>6</v>
      </c>
      <c r="C7">
        <v>4</v>
      </c>
      <c r="D7" s="5">
        <v>30</v>
      </c>
      <c r="E7" s="4">
        <f>D7*PI()/180</f>
        <v>0.52359877559829882</v>
      </c>
      <c r="F7">
        <f>C7*SIN(E7)</f>
        <v>1.9999999999999998</v>
      </c>
      <c r="G7">
        <f>C7*COS(E7)</f>
        <v>3.4641016151377548</v>
      </c>
      <c r="H7" s="3">
        <f t="shared" si="8"/>
        <v>4</v>
      </c>
      <c r="I7" s="3">
        <f t="shared" si="9"/>
        <v>2.645747926753665</v>
      </c>
      <c r="J7" s="3">
        <f t="shared" si="10"/>
        <v>5.196150699500671</v>
      </c>
      <c r="K7" s="3">
        <f t="shared" si="11"/>
        <v>40.893394649130911</v>
      </c>
      <c r="L7" s="4">
        <f t="shared" si="12"/>
        <v>26.984038512356531</v>
      </c>
      <c r="M7" s="7">
        <f t="shared" si="13"/>
        <v>26.984038512356531</v>
      </c>
      <c r="N7">
        <f>(G7^2+H7^2)^0.5</f>
        <v>5.2915026221291814</v>
      </c>
      <c r="O7" t="e">
        <f>Coppel_Polar(O$4,M7)</f>
        <v>#VALUE!</v>
      </c>
      <c r="P7" s="1" t="e">
        <f>0.5*1000*O7*$P$4*N7^2</f>
        <v>#VALUE!</v>
      </c>
      <c r="Q7" s="20" t="e">
        <f>P7*sind(D7)</f>
        <v>#VALUE!</v>
      </c>
      <c r="R7" s="20" t="e">
        <f>P7*cosd(D7)</f>
        <v>#VALUE!</v>
      </c>
      <c r="S7">
        <f t="shared" si="14"/>
        <v>1.6666666666666667</v>
      </c>
    </row>
    <row r="8" spans="2:19" x14ac:dyDescent="0.25">
      <c r="B8">
        <v>6</v>
      </c>
      <c r="C8">
        <v>5</v>
      </c>
      <c r="D8" s="5">
        <v>35</v>
      </c>
      <c r="E8" s="4">
        <f>D8*PI()/180</f>
        <v>0.6108652381980153</v>
      </c>
      <c r="F8">
        <f>C8*SIN(E8)</f>
        <v>2.8678821817552302</v>
      </c>
      <c r="G8">
        <f>C8*COS(E8)</f>
        <v>4.0957602214449587</v>
      </c>
      <c r="H8" s="3">
        <f t="shared" si="8"/>
        <v>3.1321178182447698</v>
      </c>
      <c r="I8" s="3">
        <f t="shared" si="9"/>
        <v>3.6271669261136616</v>
      </c>
      <c r="J8" s="3">
        <f t="shared" si="10"/>
        <v>4.914909959489882</v>
      </c>
      <c r="K8" s="3">
        <f t="shared" si="11"/>
        <v>52.594061803446181</v>
      </c>
      <c r="L8" s="4">
        <f t="shared" si="12"/>
        <v>36.427049190784771</v>
      </c>
      <c r="M8" s="7">
        <f t="shared" si="13"/>
        <v>36.427049190784771</v>
      </c>
      <c r="N8">
        <f>(G8^2+H8^2)^0.5</f>
        <v>5.156104519784023</v>
      </c>
      <c r="O8" t="e">
        <f>Coppel_Polar(O$4,M8)</f>
        <v>#VALUE!</v>
      </c>
      <c r="P8" s="1" t="e">
        <f>0.5*1000*O8*$P$4*N8^2</f>
        <v>#VALUE!</v>
      </c>
      <c r="Q8" s="20" t="e">
        <f>P8*sind(D8)</f>
        <v>#VALUE!</v>
      </c>
      <c r="R8" s="20" t="e">
        <f>P8*cosd(D8)</f>
        <v>#VALUE!</v>
      </c>
      <c r="S8">
        <f t="shared" si="14"/>
        <v>2.0833333333333335</v>
      </c>
    </row>
    <row r="9" spans="2:19" x14ac:dyDescent="0.25">
      <c r="B9">
        <v>6</v>
      </c>
      <c r="C9">
        <v>5</v>
      </c>
      <c r="D9" s="5">
        <v>40</v>
      </c>
      <c r="E9" s="4">
        <f t="shared" ref="E9:E26" si="15">D9*PI()/180</f>
        <v>0.69813170079773179</v>
      </c>
      <c r="F9">
        <f t="shared" ref="F9:F26" si="16">C9*SIN(E9)</f>
        <v>3.2139380484326963</v>
      </c>
      <c r="G9">
        <f t="shared" ref="G9:G26" si="17">C9*COS(E9)</f>
        <v>3.83022221559489</v>
      </c>
      <c r="H9" s="3">
        <f t="shared" si="8"/>
        <v>2.7860619515673037</v>
      </c>
      <c r="I9" s="3">
        <f t="shared" si="9"/>
        <v>3.1820810872115035</v>
      </c>
      <c r="J9" s="3">
        <f t="shared" si="10"/>
        <v>4.5962637049661481</v>
      </c>
      <c r="K9" s="3">
        <f t="shared" si="11"/>
        <v>53.968265241909293</v>
      </c>
      <c r="L9" s="4">
        <f t="shared" si="12"/>
        <v>34.695594828550881</v>
      </c>
      <c r="M9" s="7">
        <f t="shared" si="13"/>
        <v>34.695594828550881</v>
      </c>
      <c r="N9">
        <f t="shared" ref="N9:N26" si="18">(G9^2+H9^2)^0.5</f>
        <v>4.7363217182543291</v>
      </c>
      <c r="O9" t="e">
        <f t="shared" ref="O9:O26" si="19">Coppel_Polar(O$4,M9)</f>
        <v>#VALUE!</v>
      </c>
      <c r="P9" s="1" t="e">
        <f t="shared" ref="P9:P26" si="20">0.5*1000*O9*$P$4*N9^2</f>
        <v>#VALUE!</v>
      </c>
      <c r="Q9" s="20" t="e">
        <f t="shared" ref="Q9:Q26" si="21">P9*sind(D9)</f>
        <v>#VALUE!</v>
      </c>
      <c r="R9" s="20" t="e">
        <f t="shared" ref="R9:R26" si="22">P9*cosd(D9)</f>
        <v>#VALUE!</v>
      </c>
      <c r="S9">
        <f t="shared" si="14"/>
        <v>2.0833333333333335</v>
      </c>
    </row>
    <row r="10" spans="2:19" x14ac:dyDescent="0.25">
      <c r="B10">
        <v>6</v>
      </c>
      <c r="C10">
        <v>5</v>
      </c>
      <c r="D10" s="5">
        <v>45</v>
      </c>
      <c r="E10" s="4">
        <f t="shared" si="15"/>
        <v>0.78539816339744828</v>
      </c>
      <c r="F10">
        <f t="shared" si="16"/>
        <v>3.5355339059327373</v>
      </c>
      <c r="G10">
        <f t="shared" si="17"/>
        <v>3.5355339059327378</v>
      </c>
      <c r="H10" s="3">
        <f t="shared" si="8"/>
        <v>2.4644660940672627</v>
      </c>
      <c r="I10" s="3">
        <f t="shared" si="9"/>
        <v>2.6457454492653181</v>
      </c>
      <c r="J10" s="3">
        <f t="shared" si="10"/>
        <v>4.2426370316476678</v>
      </c>
      <c r="K10" s="3">
        <f t="shared" si="11"/>
        <v>55.121333079192148</v>
      </c>
      <c r="L10" s="4">
        <f t="shared" si="12"/>
        <v>31.948024599946557</v>
      </c>
      <c r="M10" s="7">
        <f t="shared" si="13"/>
        <v>31.948024599946557</v>
      </c>
      <c r="N10">
        <f t="shared" si="18"/>
        <v>4.3097091698636874</v>
      </c>
      <c r="O10" t="e">
        <f t="shared" si="19"/>
        <v>#VALUE!</v>
      </c>
      <c r="P10" s="1" t="e">
        <f t="shared" si="20"/>
        <v>#VALUE!</v>
      </c>
      <c r="Q10" s="20" t="e">
        <f t="shared" si="21"/>
        <v>#VALUE!</v>
      </c>
      <c r="R10" s="20" t="e">
        <f t="shared" si="22"/>
        <v>#VALUE!</v>
      </c>
      <c r="S10">
        <f t="shared" si="14"/>
        <v>2.0833333333333335</v>
      </c>
    </row>
    <row r="11" spans="2:19" x14ac:dyDescent="0.25">
      <c r="B11">
        <v>6</v>
      </c>
      <c r="C11">
        <v>5</v>
      </c>
      <c r="D11" s="5">
        <v>50</v>
      </c>
      <c r="E11" s="4">
        <f t="shared" si="15"/>
        <v>0.87266462599716477</v>
      </c>
      <c r="F11">
        <f t="shared" si="16"/>
        <v>3.83022221559489</v>
      </c>
      <c r="G11">
        <f t="shared" si="17"/>
        <v>3.2139380484326967</v>
      </c>
      <c r="H11" s="3">
        <f t="shared" si="8"/>
        <v>2.16977778440511</v>
      </c>
      <c r="I11" s="3">
        <f t="shared" si="9"/>
        <v>1.9683238710857702</v>
      </c>
      <c r="J11" s="3">
        <f t="shared" si="10"/>
        <v>3.8567212579451557</v>
      </c>
      <c r="K11" s="3">
        <f t="shared" si="11"/>
        <v>55.976123677807649</v>
      </c>
      <c r="L11" s="4">
        <f t="shared" si="12"/>
        <v>27.038037820975621</v>
      </c>
      <c r="M11" s="7">
        <f t="shared" si="13"/>
        <v>27.038037820975621</v>
      </c>
      <c r="N11">
        <f t="shared" si="18"/>
        <v>3.8778000738642158</v>
      </c>
      <c r="O11" t="e">
        <f t="shared" si="19"/>
        <v>#VALUE!</v>
      </c>
      <c r="P11" s="1" t="e">
        <f t="shared" si="20"/>
        <v>#VALUE!</v>
      </c>
      <c r="Q11" s="20" t="e">
        <f t="shared" si="21"/>
        <v>#VALUE!</v>
      </c>
      <c r="R11" s="20" t="e">
        <f t="shared" si="22"/>
        <v>#VALUE!</v>
      </c>
      <c r="S11">
        <f t="shared" si="14"/>
        <v>2.0833333333333335</v>
      </c>
    </row>
    <row r="12" spans="2:19" x14ac:dyDescent="0.25">
      <c r="B12">
        <v>6</v>
      </c>
      <c r="C12">
        <v>5</v>
      </c>
      <c r="D12" s="5">
        <v>55</v>
      </c>
      <c r="E12" s="4">
        <f t="shared" si="15"/>
        <v>0.95993108859688125</v>
      </c>
      <c r="F12">
        <f t="shared" si="16"/>
        <v>4.0957602214449587</v>
      </c>
      <c r="G12">
        <f t="shared" si="17"/>
        <v>2.8678821817552307</v>
      </c>
      <c r="H12" s="3">
        <f t="shared" si="8"/>
        <v>1.9042397785550413</v>
      </c>
      <c r="I12" s="3">
        <f t="shared" si="9"/>
        <v>0.91847797791943553</v>
      </c>
      <c r="J12" s="3">
        <f t="shared" si="10"/>
        <v>3.441453442358763</v>
      </c>
      <c r="K12" s="3">
        <f t="shared" si="11"/>
        <v>56.416310809707369</v>
      </c>
      <c r="L12" s="4">
        <f t="shared" si="12"/>
        <v>14.943183824317114</v>
      </c>
      <c r="M12" s="7">
        <f t="shared" si="13"/>
        <v>14.943183824317114</v>
      </c>
      <c r="N12">
        <f t="shared" si="18"/>
        <v>3.4425103257158862</v>
      </c>
      <c r="O12" t="e">
        <f t="shared" si="19"/>
        <v>#VALUE!</v>
      </c>
      <c r="P12" s="1" t="e">
        <f t="shared" si="20"/>
        <v>#VALUE!</v>
      </c>
      <c r="Q12" s="20" t="e">
        <f t="shared" si="21"/>
        <v>#VALUE!</v>
      </c>
      <c r="R12" s="20" t="e">
        <f t="shared" si="22"/>
        <v>#VALUE!</v>
      </c>
      <c r="S12">
        <f t="shared" si="14"/>
        <v>2.0833333333333335</v>
      </c>
    </row>
    <row r="13" spans="2:19" x14ac:dyDescent="0.25">
      <c r="B13">
        <v>6</v>
      </c>
      <c r="C13">
        <v>6</v>
      </c>
      <c r="D13" s="5">
        <v>60</v>
      </c>
      <c r="E13" s="4">
        <f t="shared" si="15"/>
        <v>1.0471975511965976</v>
      </c>
      <c r="F13">
        <f t="shared" si="16"/>
        <v>5.196152422706632</v>
      </c>
      <c r="G13">
        <f t="shared" si="17"/>
        <v>3.0000000000000009</v>
      </c>
      <c r="H13" s="3">
        <f t="shared" si="8"/>
        <v>0.80384757729336798</v>
      </c>
      <c r="I13" s="3">
        <f t="shared" si="9"/>
        <v>2.9999940306404387</v>
      </c>
      <c r="J13" s="3">
        <f t="shared" si="10"/>
        <v>2.9999940306404382</v>
      </c>
      <c r="K13" s="3">
        <f t="shared" si="11"/>
        <v>75</v>
      </c>
      <c r="L13" s="4">
        <f t="shared" si="12"/>
        <v>45.000000000000007</v>
      </c>
      <c r="M13" s="7">
        <f t="shared" si="13"/>
        <v>45.000000000000007</v>
      </c>
      <c r="N13">
        <f t="shared" si="18"/>
        <v>3.1058285412302502</v>
      </c>
      <c r="O13" t="e">
        <f t="shared" si="19"/>
        <v>#VALUE!</v>
      </c>
      <c r="P13" s="1" t="e">
        <f t="shared" si="20"/>
        <v>#VALUE!</v>
      </c>
      <c r="Q13" s="20" t="e">
        <f t="shared" si="21"/>
        <v>#VALUE!</v>
      </c>
      <c r="R13" s="20" t="e">
        <f t="shared" si="22"/>
        <v>#VALUE!</v>
      </c>
      <c r="S13">
        <f t="shared" si="14"/>
        <v>2.5</v>
      </c>
    </row>
    <row r="14" spans="2:19" x14ac:dyDescent="0.25">
      <c r="B14">
        <v>6</v>
      </c>
      <c r="C14">
        <v>6</v>
      </c>
      <c r="D14" s="5">
        <v>65</v>
      </c>
      <c r="E14" s="4">
        <f t="shared" si="15"/>
        <v>1.1344640137963142</v>
      </c>
      <c r="F14">
        <f t="shared" si="16"/>
        <v>5.4378467222198994</v>
      </c>
      <c r="G14">
        <f t="shared" si="17"/>
        <v>2.5357095704441965</v>
      </c>
      <c r="H14" s="3">
        <f t="shared" si="8"/>
        <v>0.5621532777801006</v>
      </c>
      <c r="I14" s="3">
        <f t="shared" si="9"/>
        <v>2.5357028028406825</v>
      </c>
      <c r="J14" s="3">
        <f t="shared" si="10"/>
        <v>2.5357028028406821</v>
      </c>
      <c r="K14" s="3">
        <f t="shared" si="11"/>
        <v>77.499999999999986</v>
      </c>
      <c r="L14" s="4">
        <f t="shared" si="12"/>
        <v>45.000000000000007</v>
      </c>
      <c r="M14" s="7">
        <f t="shared" si="13"/>
        <v>45.000000000000007</v>
      </c>
      <c r="N14">
        <f t="shared" si="18"/>
        <v>2.5972753672572346</v>
      </c>
      <c r="O14" t="e">
        <f t="shared" si="19"/>
        <v>#VALUE!</v>
      </c>
      <c r="P14" s="1" t="e">
        <f t="shared" si="20"/>
        <v>#VALUE!</v>
      </c>
      <c r="Q14" s="20" t="e">
        <f t="shared" si="21"/>
        <v>#VALUE!</v>
      </c>
      <c r="R14" s="20" t="e">
        <f t="shared" si="22"/>
        <v>#VALUE!</v>
      </c>
      <c r="S14">
        <f t="shared" si="14"/>
        <v>2.5</v>
      </c>
    </row>
    <row r="15" spans="2:19" x14ac:dyDescent="0.25">
      <c r="B15">
        <v>6</v>
      </c>
      <c r="C15">
        <v>6</v>
      </c>
      <c r="D15" s="5">
        <v>70</v>
      </c>
      <c r="E15" s="4">
        <f t="shared" si="15"/>
        <v>1.2217304763960306</v>
      </c>
      <c r="F15">
        <f t="shared" si="16"/>
        <v>5.6381557247154497</v>
      </c>
      <c r="G15">
        <f t="shared" si="17"/>
        <v>2.0521208599540128</v>
      </c>
      <c r="H15" s="3">
        <f t="shared" si="8"/>
        <v>0.36184427528455032</v>
      </c>
      <c r="I15" s="3">
        <f t="shared" si="9"/>
        <v>2.0521133032976104</v>
      </c>
      <c r="J15" s="3">
        <f t="shared" si="10"/>
        <v>2.0521133032976104</v>
      </c>
      <c r="K15" s="3">
        <f t="shared" si="11"/>
        <v>79.999999999999986</v>
      </c>
      <c r="L15" s="4">
        <f t="shared" si="12"/>
        <v>45</v>
      </c>
      <c r="M15" s="7">
        <f t="shared" si="13"/>
        <v>45</v>
      </c>
      <c r="N15">
        <f t="shared" si="18"/>
        <v>2.0837781320031645</v>
      </c>
      <c r="O15" t="e">
        <f t="shared" si="19"/>
        <v>#VALUE!</v>
      </c>
      <c r="P15" s="1" t="e">
        <f t="shared" si="20"/>
        <v>#VALUE!</v>
      </c>
      <c r="Q15" s="20" t="e">
        <f t="shared" si="21"/>
        <v>#VALUE!</v>
      </c>
      <c r="R15" s="20" t="e">
        <f t="shared" si="22"/>
        <v>#VALUE!</v>
      </c>
      <c r="S15">
        <f t="shared" si="14"/>
        <v>2.5</v>
      </c>
    </row>
    <row r="16" spans="2:19" x14ac:dyDescent="0.25">
      <c r="B16">
        <v>6</v>
      </c>
      <c r="C16">
        <v>6</v>
      </c>
      <c r="D16" s="5">
        <v>75</v>
      </c>
      <c r="E16" s="4">
        <f t="shared" si="15"/>
        <v>1.3089969389957472</v>
      </c>
      <c r="F16">
        <f t="shared" si="16"/>
        <v>5.7955549577344101</v>
      </c>
      <c r="G16">
        <f t="shared" si="17"/>
        <v>1.5529142706151244</v>
      </c>
      <c r="H16" s="3">
        <f t="shared" si="8"/>
        <v>0.2044450422655899</v>
      </c>
      <c r="I16" s="3">
        <f t="shared" si="9"/>
        <v>1.5529059481719554</v>
      </c>
      <c r="J16" s="3">
        <f t="shared" si="10"/>
        <v>1.5529059481719565</v>
      </c>
      <c r="K16" s="3">
        <f t="shared" si="11"/>
        <v>82.500000000000014</v>
      </c>
      <c r="L16" s="4">
        <f t="shared" si="12"/>
        <v>44.999999999999979</v>
      </c>
      <c r="M16" s="7">
        <f t="shared" si="13"/>
        <v>44.999999999999979</v>
      </c>
      <c r="N16">
        <f t="shared" si="18"/>
        <v>1.5663143066406189</v>
      </c>
      <c r="O16" t="e">
        <f t="shared" si="19"/>
        <v>#VALUE!</v>
      </c>
      <c r="P16" s="1" t="e">
        <f t="shared" si="20"/>
        <v>#VALUE!</v>
      </c>
      <c r="Q16" s="20" t="e">
        <f t="shared" si="21"/>
        <v>#VALUE!</v>
      </c>
      <c r="R16" s="20" t="e">
        <f t="shared" si="22"/>
        <v>#VALUE!</v>
      </c>
      <c r="S16">
        <f t="shared" si="14"/>
        <v>2.5</v>
      </c>
    </row>
    <row r="17" spans="2:19" x14ac:dyDescent="0.25">
      <c r="B17">
        <v>6</v>
      </c>
      <c r="C17">
        <v>6</v>
      </c>
      <c r="D17" s="5">
        <v>80</v>
      </c>
      <c r="E17" s="4">
        <f t="shared" si="15"/>
        <v>1.3962634015954636</v>
      </c>
      <c r="F17">
        <f t="shared" si="16"/>
        <v>5.9088465180732479</v>
      </c>
      <c r="G17">
        <f t="shared" si="17"/>
        <v>1.0418890660015825</v>
      </c>
      <c r="H17" s="3">
        <f t="shared" si="8"/>
        <v>9.11534819267521E-2</v>
      </c>
      <c r="I17" s="3">
        <f t="shared" si="9"/>
        <v>1.0418800151963814</v>
      </c>
      <c r="J17" s="3">
        <f t="shared" si="10"/>
        <v>1.0418800151963814</v>
      </c>
      <c r="K17" s="3">
        <f t="shared" si="11"/>
        <v>84.999999999999986</v>
      </c>
      <c r="L17" s="4">
        <f t="shared" si="12"/>
        <v>45</v>
      </c>
      <c r="M17" s="7">
        <f t="shared" si="13"/>
        <v>45</v>
      </c>
      <c r="N17">
        <f t="shared" si="18"/>
        <v>1.0458689129718985</v>
      </c>
      <c r="O17" t="e">
        <f t="shared" si="19"/>
        <v>#VALUE!</v>
      </c>
      <c r="P17" s="1" t="e">
        <f t="shared" si="20"/>
        <v>#VALUE!</v>
      </c>
      <c r="Q17" s="20" t="e">
        <f t="shared" si="21"/>
        <v>#VALUE!</v>
      </c>
      <c r="R17" s="20" t="e">
        <f t="shared" si="22"/>
        <v>#VALUE!</v>
      </c>
      <c r="S17">
        <f t="shared" si="14"/>
        <v>2.5</v>
      </c>
    </row>
    <row r="18" spans="2:19" x14ac:dyDescent="0.25">
      <c r="B18">
        <v>6</v>
      </c>
      <c r="C18">
        <v>6</v>
      </c>
      <c r="D18" s="5">
        <v>85</v>
      </c>
      <c r="E18" s="4">
        <f t="shared" si="15"/>
        <v>1.4835298641951802</v>
      </c>
      <c r="F18">
        <f t="shared" si="16"/>
        <v>5.9771681885504737</v>
      </c>
      <c r="G18">
        <f t="shared" si="17"/>
        <v>0.52293445648594883</v>
      </c>
      <c r="H18" s="3">
        <f t="shared" si="8"/>
        <v>2.2831811449526285E-2</v>
      </c>
      <c r="I18" s="3">
        <f t="shared" si="9"/>
        <v>0.52292472881446561</v>
      </c>
      <c r="J18" s="3">
        <f t="shared" si="10"/>
        <v>0.52292472881445962</v>
      </c>
      <c r="K18" s="3">
        <f t="shared" si="11"/>
        <v>87.500000000000057</v>
      </c>
      <c r="L18" s="4">
        <f t="shared" si="12"/>
        <v>45.000000000000334</v>
      </c>
      <c r="M18" s="7">
        <f t="shared" si="13"/>
        <v>45.000000000000334</v>
      </c>
      <c r="N18">
        <f t="shared" si="18"/>
        <v>0.5234326483840317</v>
      </c>
      <c r="O18" t="e">
        <f t="shared" si="19"/>
        <v>#VALUE!</v>
      </c>
      <c r="P18" s="1" t="e">
        <f t="shared" si="20"/>
        <v>#VALUE!</v>
      </c>
      <c r="Q18" s="20" t="e">
        <f t="shared" si="21"/>
        <v>#VALUE!</v>
      </c>
      <c r="R18" s="20" t="e">
        <f t="shared" si="22"/>
        <v>#VALUE!</v>
      </c>
      <c r="S18">
        <f t="shared" si="14"/>
        <v>2.5</v>
      </c>
    </row>
    <row r="19" spans="2:19" x14ac:dyDescent="0.25">
      <c r="B19">
        <v>6</v>
      </c>
      <c r="C19">
        <v>7</v>
      </c>
      <c r="D19" s="5">
        <v>90</v>
      </c>
      <c r="E19" s="4">
        <f t="shared" si="15"/>
        <v>1.5707963267948966</v>
      </c>
      <c r="F19">
        <f t="shared" si="16"/>
        <v>7</v>
      </c>
      <c r="G19">
        <f t="shared" si="17"/>
        <v>4.28801959218017E-16</v>
      </c>
      <c r="H19" s="3">
        <f t="shared" si="8"/>
        <v>-1</v>
      </c>
      <c r="I19" s="3">
        <f t="shared" si="9"/>
        <v>3.6055512754788137</v>
      </c>
      <c r="J19" s="3">
        <f t="shared" si="10"/>
        <v>-1.0339230620620125E-5</v>
      </c>
      <c r="K19" s="3">
        <f t="shared" si="11"/>
        <v>-2.4568542510133221E-14</v>
      </c>
      <c r="L19" s="4">
        <f t="shared" si="12"/>
        <v>-89.999835699388882</v>
      </c>
      <c r="M19" s="7">
        <f t="shared" si="13"/>
        <v>-89.999835699388882</v>
      </c>
      <c r="N19">
        <f t="shared" si="18"/>
        <v>1</v>
      </c>
      <c r="O19" t="e">
        <f t="shared" si="19"/>
        <v>#VALUE!</v>
      </c>
      <c r="P19" s="1" t="e">
        <f t="shared" si="20"/>
        <v>#VALUE!</v>
      </c>
      <c r="Q19" s="20" t="e">
        <f t="shared" si="21"/>
        <v>#VALUE!</v>
      </c>
      <c r="R19" s="20" t="e">
        <f t="shared" si="22"/>
        <v>#VALUE!</v>
      </c>
      <c r="S19">
        <f t="shared" si="14"/>
        <v>2.916666666666667</v>
      </c>
    </row>
    <row r="20" spans="2:19" x14ac:dyDescent="0.25">
      <c r="B20">
        <v>6</v>
      </c>
      <c r="C20">
        <v>6</v>
      </c>
      <c r="D20" s="5">
        <v>95</v>
      </c>
      <c r="E20" s="4">
        <f t="shared" si="15"/>
        <v>1.6580627893946132</v>
      </c>
      <c r="F20">
        <f t="shared" si="16"/>
        <v>5.9771681885504737</v>
      </c>
      <c r="G20">
        <f t="shared" si="17"/>
        <v>-0.52293445648594938</v>
      </c>
      <c r="H20" s="3">
        <f t="shared" si="8"/>
        <v>2.2831811449526285E-2</v>
      </c>
      <c r="I20" s="3">
        <f t="shared" si="9"/>
        <v>0.52294532858773957</v>
      </c>
      <c r="J20" s="3">
        <f t="shared" si="10"/>
        <v>-0.52294532858774023</v>
      </c>
      <c r="K20" s="3">
        <f t="shared" si="11"/>
        <v>-87.500000000000071</v>
      </c>
      <c r="L20" s="4">
        <f t="shared" si="12"/>
        <v>-44.999999999999964</v>
      </c>
      <c r="M20" s="7">
        <f t="shared" si="13"/>
        <v>-44.999999999999964</v>
      </c>
      <c r="N20">
        <f t="shared" si="18"/>
        <v>0.52343264838403236</v>
      </c>
      <c r="O20" t="e">
        <f t="shared" si="19"/>
        <v>#VALUE!</v>
      </c>
      <c r="P20" s="1" t="e">
        <f t="shared" si="20"/>
        <v>#VALUE!</v>
      </c>
      <c r="Q20" s="20" t="e">
        <f t="shared" si="21"/>
        <v>#VALUE!</v>
      </c>
      <c r="R20" s="20" t="e">
        <f t="shared" si="22"/>
        <v>#VALUE!</v>
      </c>
      <c r="S20">
        <f t="shared" si="14"/>
        <v>2.5</v>
      </c>
    </row>
    <row r="21" spans="2:19" x14ac:dyDescent="0.25">
      <c r="B21">
        <v>6</v>
      </c>
      <c r="C21">
        <v>6</v>
      </c>
      <c r="D21" s="5">
        <v>100</v>
      </c>
      <c r="E21" s="4">
        <f t="shared" si="15"/>
        <v>1.7453292519943295</v>
      </c>
      <c r="F21">
        <f t="shared" si="16"/>
        <v>5.9088465180732479</v>
      </c>
      <c r="G21">
        <f t="shared" si="17"/>
        <v>-1.0418890660015818</v>
      </c>
      <c r="H21" s="3">
        <f t="shared" si="8"/>
        <v>9.11534819267521E-2</v>
      </c>
      <c r="I21" s="3">
        <f t="shared" si="9"/>
        <v>1.0419003795046422</v>
      </c>
      <c r="J21" s="3">
        <f t="shared" si="10"/>
        <v>-1.0419003795046446</v>
      </c>
      <c r="K21" s="3">
        <f t="shared" si="11"/>
        <v>-84.999999999999986</v>
      </c>
      <c r="L21" s="4">
        <f t="shared" si="12"/>
        <v>-44.999999999999936</v>
      </c>
      <c r="M21" s="7">
        <f t="shared" si="13"/>
        <v>-44.999999999999936</v>
      </c>
      <c r="N21">
        <f t="shared" si="18"/>
        <v>1.0458689129718979</v>
      </c>
      <c r="O21" t="e">
        <f t="shared" si="19"/>
        <v>#VALUE!</v>
      </c>
      <c r="P21" s="1" t="e">
        <f t="shared" si="20"/>
        <v>#VALUE!</v>
      </c>
      <c r="Q21" s="20" t="e">
        <f t="shared" si="21"/>
        <v>#VALUE!</v>
      </c>
      <c r="R21" s="20" t="e">
        <f t="shared" si="22"/>
        <v>#VALUE!</v>
      </c>
      <c r="S21">
        <f t="shared" si="14"/>
        <v>2.5</v>
      </c>
    </row>
    <row r="22" spans="2:19" x14ac:dyDescent="0.25">
      <c r="B22">
        <v>6</v>
      </c>
      <c r="C22">
        <v>6</v>
      </c>
      <c r="D22" s="5">
        <v>105</v>
      </c>
      <c r="E22" s="4">
        <f t="shared" si="15"/>
        <v>1.8325957145940461</v>
      </c>
      <c r="F22">
        <f t="shared" si="16"/>
        <v>5.7955549577344101</v>
      </c>
      <c r="G22">
        <f t="shared" si="17"/>
        <v>-1.5529142706151251</v>
      </c>
      <c r="H22" s="3">
        <f t="shared" si="8"/>
        <v>0.2044450422655899</v>
      </c>
      <c r="I22" s="3">
        <f t="shared" si="9"/>
        <v>1.5529259220301803</v>
      </c>
      <c r="J22" s="3">
        <f t="shared" si="10"/>
        <v>-1.5529259220301803</v>
      </c>
      <c r="K22" s="3">
        <f t="shared" si="11"/>
        <v>-82.500000000000014</v>
      </c>
      <c r="L22" s="4">
        <f t="shared" si="12"/>
        <v>-45</v>
      </c>
      <c r="M22" s="7">
        <f t="shared" si="13"/>
        <v>-45</v>
      </c>
      <c r="N22">
        <f t="shared" si="18"/>
        <v>1.5663143066406195</v>
      </c>
      <c r="O22" t="e">
        <f t="shared" si="19"/>
        <v>#VALUE!</v>
      </c>
      <c r="P22" s="1" t="e">
        <f t="shared" si="20"/>
        <v>#VALUE!</v>
      </c>
      <c r="Q22" s="20" t="e">
        <f t="shared" si="21"/>
        <v>#VALUE!</v>
      </c>
      <c r="R22" s="20" t="e">
        <f t="shared" si="22"/>
        <v>#VALUE!</v>
      </c>
      <c r="S22">
        <f t="shared" si="14"/>
        <v>2.5</v>
      </c>
    </row>
    <row r="23" spans="2:19" x14ac:dyDescent="0.25">
      <c r="B23">
        <v>6</v>
      </c>
      <c r="C23">
        <v>6</v>
      </c>
      <c r="D23" s="5">
        <v>110</v>
      </c>
      <c r="E23" s="4">
        <f t="shared" si="15"/>
        <v>1.9198621771937625</v>
      </c>
      <c r="F23">
        <f t="shared" si="16"/>
        <v>5.6381557247154506</v>
      </c>
      <c r="G23">
        <f t="shared" si="17"/>
        <v>-2.0521208599540124</v>
      </c>
      <c r="H23" s="3">
        <f t="shared" si="8"/>
        <v>0.36184427528454943</v>
      </c>
      <c r="I23" s="3">
        <f t="shared" si="9"/>
        <v>2.0521327346923406</v>
      </c>
      <c r="J23" s="3">
        <f t="shared" si="10"/>
        <v>-2.0521327346923401</v>
      </c>
      <c r="K23" s="3">
        <f t="shared" si="11"/>
        <v>-80.000000000000014</v>
      </c>
      <c r="L23" s="4">
        <f t="shared" si="12"/>
        <v>-45.000000000000007</v>
      </c>
      <c r="M23" s="7">
        <f t="shared" si="13"/>
        <v>-45.000000000000007</v>
      </c>
      <c r="N23">
        <f t="shared" si="18"/>
        <v>2.0837781320031641</v>
      </c>
      <c r="O23" t="e">
        <f t="shared" si="19"/>
        <v>#VALUE!</v>
      </c>
      <c r="P23" s="1" t="e">
        <f t="shared" si="20"/>
        <v>#VALUE!</v>
      </c>
      <c r="Q23" s="20" t="e">
        <f t="shared" si="21"/>
        <v>#VALUE!</v>
      </c>
      <c r="R23" s="20" t="e">
        <f t="shared" si="22"/>
        <v>#VALUE!</v>
      </c>
      <c r="S23">
        <f t="shared" si="14"/>
        <v>2.5</v>
      </c>
    </row>
    <row r="24" spans="2:19" x14ac:dyDescent="0.25">
      <c r="B24">
        <v>6</v>
      </c>
      <c r="C24">
        <v>6</v>
      </c>
      <c r="D24" s="5">
        <v>115</v>
      </c>
      <c r="E24" s="4">
        <f t="shared" si="15"/>
        <v>2.0071286397934789</v>
      </c>
      <c r="F24">
        <f t="shared" si="16"/>
        <v>5.4378467222199003</v>
      </c>
      <c r="G24">
        <f t="shared" si="17"/>
        <v>-2.5357095704441961</v>
      </c>
      <c r="H24" s="3">
        <f t="shared" si="8"/>
        <v>0.56215327778009971</v>
      </c>
      <c r="I24" s="3">
        <f t="shared" si="9"/>
        <v>2.5357215438869458</v>
      </c>
      <c r="J24" s="3">
        <f t="shared" si="10"/>
        <v>-2.5357215438869458</v>
      </c>
      <c r="K24" s="3">
        <f t="shared" si="11"/>
        <v>-77.500000000000014</v>
      </c>
      <c r="L24" s="4">
        <f t="shared" si="12"/>
        <v>-45</v>
      </c>
      <c r="M24" s="7">
        <f t="shared" si="13"/>
        <v>-45</v>
      </c>
      <c r="N24">
        <f t="shared" si="18"/>
        <v>2.5972753672572337</v>
      </c>
      <c r="O24" t="e">
        <f t="shared" si="19"/>
        <v>#VALUE!</v>
      </c>
      <c r="P24" s="1" t="e">
        <f t="shared" si="20"/>
        <v>#VALUE!</v>
      </c>
      <c r="Q24" s="20" t="e">
        <f t="shared" si="21"/>
        <v>#VALUE!</v>
      </c>
      <c r="R24" s="20" t="e">
        <f t="shared" si="22"/>
        <v>#VALUE!</v>
      </c>
      <c r="S24">
        <f t="shared" si="14"/>
        <v>2.5</v>
      </c>
    </row>
    <row r="25" spans="2:19" x14ac:dyDescent="0.25">
      <c r="B25">
        <v>6</v>
      </c>
      <c r="C25">
        <v>6</v>
      </c>
      <c r="D25" s="5">
        <v>120</v>
      </c>
      <c r="E25" s="4">
        <f t="shared" si="15"/>
        <v>2.0943951023931953</v>
      </c>
      <c r="F25">
        <f t="shared" si="16"/>
        <v>5.196152422706632</v>
      </c>
      <c r="G25">
        <f t="shared" si="17"/>
        <v>-2.9999999999999987</v>
      </c>
      <c r="H25" s="3">
        <f t="shared" si="8"/>
        <v>0.80384757729336798</v>
      </c>
      <c r="I25" s="3">
        <f t="shared" si="9"/>
        <v>3.0000119387072455</v>
      </c>
      <c r="J25" s="3">
        <f t="shared" si="10"/>
        <v>-3.0000119387072455</v>
      </c>
      <c r="K25" s="3">
        <f t="shared" si="11"/>
        <v>-75</v>
      </c>
      <c r="L25" s="4">
        <f t="shared" si="12"/>
        <v>-45</v>
      </c>
      <c r="M25" s="7">
        <f t="shared" si="13"/>
        <v>-45</v>
      </c>
      <c r="N25">
        <f t="shared" si="18"/>
        <v>3.105828541230248</v>
      </c>
      <c r="O25" t="e">
        <f t="shared" si="19"/>
        <v>#VALUE!</v>
      </c>
      <c r="P25" s="1" t="e">
        <f t="shared" si="20"/>
        <v>#VALUE!</v>
      </c>
      <c r="Q25" s="20" t="e">
        <f t="shared" si="21"/>
        <v>#VALUE!</v>
      </c>
      <c r="R25" s="20" t="e">
        <f t="shared" si="22"/>
        <v>#VALUE!</v>
      </c>
      <c r="S25">
        <f t="shared" si="14"/>
        <v>2.5</v>
      </c>
    </row>
    <row r="26" spans="2:19" x14ac:dyDescent="0.25">
      <c r="B26">
        <v>6</v>
      </c>
      <c r="C26">
        <v>5</v>
      </c>
      <c r="D26" s="5">
        <v>125</v>
      </c>
      <c r="E26" s="4">
        <f t="shared" si="15"/>
        <v>2.1816615649929116</v>
      </c>
      <c r="F26">
        <f t="shared" si="16"/>
        <v>4.0957602214449604</v>
      </c>
      <c r="G26">
        <f t="shared" si="17"/>
        <v>-2.8678821817552294</v>
      </c>
      <c r="H26" s="3">
        <f t="shared" si="8"/>
        <v>1.9042397785550396</v>
      </c>
      <c r="I26" s="3">
        <f t="shared" si="9"/>
        <v>0.91854144401027571</v>
      </c>
      <c r="J26" s="3">
        <f t="shared" si="10"/>
        <v>-3.4414703811546135</v>
      </c>
      <c r="K26" s="3">
        <f t="shared" si="11"/>
        <v>-56.416310809707376</v>
      </c>
      <c r="L26" s="4">
        <f t="shared" si="12"/>
        <v>-14.94409992709342</v>
      </c>
      <c r="M26" s="7">
        <f t="shared" si="13"/>
        <v>-14.94409992709342</v>
      </c>
      <c r="N26">
        <f t="shared" si="18"/>
        <v>3.442510325715884</v>
      </c>
      <c r="O26" t="e">
        <f t="shared" si="19"/>
        <v>#VALUE!</v>
      </c>
      <c r="P26" s="1" t="e">
        <f t="shared" si="20"/>
        <v>#VALUE!</v>
      </c>
      <c r="Q26" s="20" t="e">
        <f t="shared" si="21"/>
        <v>#VALUE!</v>
      </c>
      <c r="R26" s="20" t="e">
        <f t="shared" si="22"/>
        <v>#VALUE!</v>
      </c>
      <c r="S26">
        <f t="shared" si="14"/>
        <v>2.0833333333333335</v>
      </c>
    </row>
    <row r="29" spans="2:19" x14ac:dyDescent="0.25">
      <c r="B29" t="s">
        <v>14</v>
      </c>
      <c r="C29" t="s">
        <v>15</v>
      </c>
      <c r="F29" s="5" t="s">
        <v>12</v>
      </c>
      <c r="G29" s="5" t="s">
        <v>13</v>
      </c>
      <c r="H29" s="5" t="s">
        <v>16</v>
      </c>
      <c r="I29" s="5" t="s">
        <v>39</v>
      </c>
      <c r="J29" s="5" t="s">
        <v>40</v>
      </c>
      <c r="K29" s="14" t="s">
        <v>30</v>
      </c>
      <c r="L29" s="5" t="s">
        <v>31</v>
      </c>
      <c r="M29">
        <v>0.125</v>
      </c>
      <c r="N29" s="5" t="s">
        <v>34</v>
      </c>
      <c r="O29" s="5" t="s">
        <v>35</v>
      </c>
      <c r="P29">
        <v>2.4</v>
      </c>
    </row>
    <row r="30" spans="2:19" x14ac:dyDescent="0.25">
      <c r="B30">
        <v>6</v>
      </c>
      <c r="C30">
        <v>1.2</v>
      </c>
      <c r="D30" s="5">
        <v>10</v>
      </c>
      <c r="E30" s="4">
        <f t="shared" ref="E30:E31" si="23">D30*PI()/180</f>
        <v>0.17453292519943295</v>
      </c>
      <c r="F30" s="7">
        <f t="shared" ref="F30:F31" si="24">C30*SIN(E30)</f>
        <v>0.2083778132003164</v>
      </c>
      <c r="G30" s="7">
        <f t="shared" ref="G30:G31" si="25">C30*COS(E30)</f>
        <v>1.1817693036146495</v>
      </c>
      <c r="H30" s="7">
        <f t="shared" ref="H30:H31" si="26">F30-B30</f>
        <v>-5.7916221867996835</v>
      </c>
      <c r="I30" s="20">
        <f>IF((H30)&gt;0,180-(180/PI())*ATAN(G30/H30),(180/PI())*ATAN(-G30/H30))</f>
        <v>11.532774287556759</v>
      </c>
      <c r="J30" s="20">
        <f>I30-D30</f>
        <v>1.5327742875567587</v>
      </c>
      <c r="K30" s="7">
        <f>(G30^2+H30^2)^0.5</f>
        <v>5.9109615327454295</v>
      </c>
      <c r="L30" s="4" t="e">
        <f>Coppel_Polar($L$29,J30)</f>
        <v>#VALUE!</v>
      </c>
      <c r="M30" s="1" t="e">
        <f t="shared" ref="M30:M31" si="27">0.5*1000*L30*$P$4*K30^2</f>
        <v>#VALUE!</v>
      </c>
      <c r="N30" s="20" t="e">
        <f>M30*sind(D30)</f>
        <v>#VALUE!</v>
      </c>
      <c r="O30" s="20" t="e">
        <f>M30*cosd(D30)</f>
        <v>#VALUE!</v>
      </c>
      <c r="P30">
        <f>C30/$S$4</f>
        <v>0.5</v>
      </c>
    </row>
    <row r="31" spans="2:19" x14ac:dyDescent="0.25">
      <c r="B31">
        <v>6</v>
      </c>
      <c r="C31">
        <v>2.2000000000000002</v>
      </c>
      <c r="D31" s="5">
        <v>20</v>
      </c>
      <c r="E31" s="4">
        <f t="shared" si="23"/>
        <v>0.3490658503988659</v>
      </c>
      <c r="F31" s="7">
        <f t="shared" si="24"/>
        <v>0.75244431531647127</v>
      </c>
      <c r="G31" s="7">
        <f t="shared" si="25"/>
        <v>2.0673237657289989</v>
      </c>
      <c r="H31" s="7">
        <f t="shared" si="26"/>
        <v>-5.2475556846835287</v>
      </c>
      <c r="I31" s="20">
        <f t="shared" ref="I31:I51" si="28">IF((H31)&gt;0,180-(180/PI())*ATAN(G31/H31),(180/PI())*ATAN(-G31/H31))</f>
        <v>21.502425425755828</v>
      </c>
      <c r="J31" s="20">
        <f>I31-D31</f>
        <v>1.5024254257558276</v>
      </c>
      <c r="K31" s="7">
        <f>(G31^2+H31^2)^0.5</f>
        <v>5.6400946992229084</v>
      </c>
      <c r="L31" s="4" t="e">
        <f t="shared" ref="L31:L51" si="29">Coppel_Polar($L$29,J31)</f>
        <v>#VALUE!</v>
      </c>
      <c r="M31" s="1" t="e">
        <f t="shared" si="27"/>
        <v>#VALUE!</v>
      </c>
      <c r="N31" s="20" t="e">
        <f>M31*sind(D31)</f>
        <v>#VALUE!</v>
      </c>
      <c r="O31" s="20" t="e">
        <f>M31*cosd(D31)</f>
        <v>#VALUE!</v>
      </c>
      <c r="P31">
        <f>C31/$S$4</f>
        <v>0.91666666666666674</v>
      </c>
    </row>
    <row r="32" spans="2:19" x14ac:dyDescent="0.25">
      <c r="B32">
        <v>6</v>
      </c>
      <c r="C32">
        <v>3.5</v>
      </c>
      <c r="D32" s="5">
        <v>30</v>
      </c>
      <c r="E32" s="4">
        <f>D32*PI()/180</f>
        <v>0.52359877559829882</v>
      </c>
      <c r="F32" s="7">
        <f>C32*SIN(E32)</f>
        <v>1.7499999999999998</v>
      </c>
      <c r="G32" s="7">
        <f>C32*COS(E32)</f>
        <v>3.0310889132455356</v>
      </c>
      <c r="H32" s="7">
        <f>F32-B32</f>
        <v>-4.25</v>
      </c>
      <c r="I32" s="20">
        <f t="shared" si="28"/>
        <v>35.496366544654606</v>
      </c>
      <c r="J32" s="20">
        <f>I32-D32</f>
        <v>5.4963665446546059</v>
      </c>
      <c r="K32" s="7">
        <f>(G32^2+H32^2)^0.5</f>
        <v>5.2201532544552753</v>
      </c>
      <c r="L32" s="4" t="e">
        <f t="shared" si="29"/>
        <v>#VALUE!</v>
      </c>
      <c r="M32" s="1" t="e">
        <f>0.5*1000*L32*$P$4*K32^2</f>
        <v>#VALUE!</v>
      </c>
      <c r="N32" s="20" t="e">
        <f>M32*sind(D32)</f>
        <v>#VALUE!</v>
      </c>
      <c r="O32" s="20" t="e">
        <f>M32*cosd(D32)</f>
        <v>#VALUE!</v>
      </c>
      <c r="P32">
        <f>C32/$S$4</f>
        <v>1.4583333333333335</v>
      </c>
    </row>
    <row r="33" spans="2:16" x14ac:dyDescent="0.25">
      <c r="B33">
        <v>6</v>
      </c>
      <c r="C33">
        <v>2</v>
      </c>
      <c r="D33" s="5">
        <v>35</v>
      </c>
      <c r="E33" s="4">
        <f>D33*PI()/180</f>
        <v>0.6108652381980153</v>
      </c>
      <c r="F33" s="7">
        <f>C33*SIN(E33)</f>
        <v>1.1471528727020921</v>
      </c>
      <c r="G33" s="7">
        <f>C33*COS(E33)</f>
        <v>1.6383040885779836</v>
      </c>
      <c r="H33" s="7">
        <f>F33-B33</f>
        <v>-4.8528471272979079</v>
      </c>
      <c r="I33" s="20">
        <f t="shared" si="28"/>
        <v>18.654501024523846</v>
      </c>
      <c r="J33" s="20">
        <f>I33-D33</f>
        <v>-16.345498975476154</v>
      </c>
      <c r="K33" s="7">
        <f>(G33^2+H33^2)^0.5</f>
        <v>5.1219298635938868</v>
      </c>
      <c r="L33" s="4" t="e">
        <f t="shared" si="29"/>
        <v>#VALUE!</v>
      </c>
      <c r="M33" s="1" t="e">
        <f>0.5*1000*L33*$P$4*K33^2</f>
        <v>#VALUE!</v>
      </c>
      <c r="N33" s="20" t="e">
        <f>M33*sind(D33)</f>
        <v>#VALUE!</v>
      </c>
      <c r="O33" s="20" t="e">
        <f>M33*cosd(D33)</f>
        <v>#VALUE!</v>
      </c>
      <c r="P33">
        <f>C33/$S$4</f>
        <v>0.83333333333333337</v>
      </c>
    </row>
    <row r="34" spans="2:16" x14ac:dyDescent="0.25">
      <c r="B34">
        <v>6</v>
      </c>
      <c r="C34">
        <v>10</v>
      </c>
      <c r="D34" s="5">
        <v>40</v>
      </c>
      <c r="E34" s="4">
        <f t="shared" ref="E34:E51" si="30">D34*PI()/180</f>
        <v>0.69813170079773179</v>
      </c>
      <c r="F34" s="7">
        <f t="shared" ref="F34:F51" si="31">C34*SIN(E34)</f>
        <v>6.4278760968653925</v>
      </c>
      <c r="G34" s="7">
        <f t="shared" ref="G34:G51" si="32">C34*COS(E34)</f>
        <v>7.6604444311897799</v>
      </c>
      <c r="H34" s="7">
        <f t="shared" ref="H34:H51" si="33">F34-B34</f>
        <v>0.42787609686539252</v>
      </c>
      <c r="I34" s="20">
        <f t="shared" si="28"/>
        <v>93.196948660318867</v>
      </c>
      <c r="J34" s="20">
        <f>I34-D34</f>
        <v>53.196948660318867</v>
      </c>
      <c r="K34" s="7">
        <f>(G34^2+H34^2)^0.5</f>
        <v>7.6723846904085349</v>
      </c>
      <c r="L34" s="4" t="e">
        <f t="shared" si="29"/>
        <v>#VALUE!</v>
      </c>
      <c r="M34" s="1" t="e">
        <f t="shared" ref="M34:M51" si="34">0.5*1000*L34*$P$4*K34^2</f>
        <v>#VALUE!</v>
      </c>
      <c r="N34" s="20" t="e">
        <f>M34*sind(D34)</f>
        <v>#VALUE!</v>
      </c>
      <c r="O34" s="20" t="e">
        <f>M34*cosd(D34)</f>
        <v>#VALUE!</v>
      </c>
      <c r="P34">
        <f>C34/$S$4</f>
        <v>4.166666666666667</v>
      </c>
    </row>
    <row r="35" spans="2:16" x14ac:dyDescent="0.25">
      <c r="B35">
        <v>6</v>
      </c>
      <c r="C35">
        <v>8.5</v>
      </c>
      <c r="D35" s="5">
        <v>45</v>
      </c>
      <c r="E35" s="4">
        <f t="shared" si="30"/>
        <v>0.78539816339744828</v>
      </c>
      <c r="F35" s="7">
        <f t="shared" si="31"/>
        <v>6.0104076400856536</v>
      </c>
      <c r="G35" s="7">
        <f t="shared" si="32"/>
        <v>6.0104076400856545</v>
      </c>
      <c r="H35" s="7">
        <f t="shared" si="33"/>
        <v>1.0407640085653647E-2</v>
      </c>
      <c r="I35" s="20">
        <f t="shared" si="28"/>
        <v>90.099213446292325</v>
      </c>
      <c r="J35" s="20">
        <f>I35-D35</f>
        <v>45.099213446292325</v>
      </c>
      <c r="K35" s="7">
        <f>(G35^2+H35^2)^0.5</f>
        <v>6.0104166510294572</v>
      </c>
      <c r="L35" s="4" t="e">
        <f t="shared" si="29"/>
        <v>#VALUE!</v>
      </c>
      <c r="M35" s="1" t="e">
        <f t="shared" si="34"/>
        <v>#VALUE!</v>
      </c>
      <c r="N35" s="20" t="e">
        <f>M35*sind(D35)</f>
        <v>#VALUE!</v>
      </c>
      <c r="O35" s="20" t="e">
        <f>M35*cosd(D35)</f>
        <v>#VALUE!</v>
      </c>
      <c r="P35">
        <f>C35/$S$4</f>
        <v>3.541666666666667</v>
      </c>
    </row>
    <row r="36" spans="2:16" x14ac:dyDescent="0.25">
      <c r="B36">
        <v>6</v>
      </c>
      <c r="C36">
        <v>8</v>
      </c>
      <c r="D36" s="5">
        <v>50</v>
      </c>
      <c r="E36" s="4">
        <f t="shared" si="30"/>
        <v>0.87266462599716477</v>
      </c>
      <c r="F36" s="7">
        <f t="shared" si="31"/>
        <v>6.1283555449518241</v>
      </c>
      <c r="G36" s="7">
        <f t="shared" si="32"/>
        <v>5.1423008774923149</v>
      </c>
      <c r="H36" s="7">
        <f t="shared" si="33"/>
        <v>0.12835554495182411</v>
      </c>
      <c r="I36" s="20">
        <f t="shared" si="28"/>
        <v>91.429847149696329</v>
      </c>
      <c r="J36" s="20">
        <f>I36-D36</f>
        <v>41.429847149696329</v>
      </c>
      <c r="K36" s="7">
        <f>(G36^2+H36^2)^0.5</f>
        <v>5.1439025516214931</v>
      </c>
      <c r="L36" s="4" t="e">
        <f t="shared" si="29"/>
        <v>#VALUE!</v>
      </c>
      <c r="M36" s="1" t="e">
        <f t="shared" si="34"/>
        <v>#VALUE!</v>
      </c>
      <c r="N36" s="20" t="e">
        <f>M36*sind(D36)</f>
        <v>#VALUE!</v>
      </c>
      <c r="O36" s="20" t="e">
        <f>M36*cosd(D36)</f>
        <v>#VALUE!</v>
      </c>
      <c r="P36">
        <f>C36/$S$4</f>
        <v>3.3333333333333335</v>
      </c>
    </row>
    <row r="37" spans="2:16" x14ac:dyDescent="0.25">
      <c r="B37">
        <v>6</v>
      </c>
      <c r="C37">
        <v>7.6</v>
      </c>
      <c r="D37" s="5">
        <v>55</v>
      </c>
      <c r="E37" s="4">
        <f t="shared" si="30"/>
        <v>0.95993108859688125</v>
      </c>
      <c r="F37" s="7">
        <f t="shared" si="31"/>
        <v>6.2255555365963371</v>
      </c>
      <c r="G37" s="7">
        <f t="shared" si="32"/>
        <v>4.3591809162679507</v>
      </c>
      <c r="H37" s="7">
        <f t="shared" si="33"/>
        <v>0.22555553659633709</v>
      </c>
      <c r="I37" s="20">
        <f t="shared" si="28"/>
        <v>92.961993496639408</v>
      </c>
      <c r="J37" s="20">
        <f>I37-D37</f>
        <v>37.961993496639408</v>
      </c>
      <c r="K37" s="7">
        <f>(G37^2+H37^2)^0.5</f>
        <v>4.3650124353596009</v>
      </c>
      <c r="L37" s="4" t="e">
        <f t="shared" si="29"/>
        <v>#VALUE!</v>
      </c>
      <c r="M37" s="1" t="e">
        <f t="shared" si="34"/>
        <v>#VALUE!</v>
      </c>
      <c r="N37" s="20" t="e">
        <f>M37*sind(D37)</f>
        <v>#VALUE!</v>
      </c>
      <c r="O37" s="20" t="e">
        <f>M37*cosd(D37)</f>
        <v>#VALUE!</v>
      </c>
      <c r="P37">
        <f>C37/$S$4</f>
        <v>3.1666666666666665</v>
      </c>
    </row>
    <row r="38" spans="2:16" x14ac:dyDescent="0.25">
      <c r="B38">
        <v>6</v>
      </c>
      <c r="C38">
        <v>7</v>
      </c>
      <c r="D38" s="5">
        <v>60</v>
      </c>
      <c r="E38" s="4">
        <f t="shared" si="30"/>
        <v>1.0471975511965976</v>
      </c>
      <c r="F38" s="7">
        <f t="shared" si="31"/>
        <v>6.0621778264910704</v>
      </c>
      <c r="G38" s="7">
        <f t="shared" si="32"/>
        <v>3.5000000000000009</v>
      </c>
      <c r="H38" s="7">
        <f t="shared" si="33"/>
        <v>6.2177826491070398E-2</v>
      </c>
      <c r="I38" s="20">
        <f t="shared" si="28"/>
        <v>91.017757809164721</v>
      </c>
      <c r="J38" s="20">
        <f>I38-D38</f>
        <v>31.017757809164721</v>
      </c>
      <c r="K38" s="7">
        <f>(G38^2+H38^2)^0.5</f>
        <v>3.5005522538746883</v>
      </c>
      <c r="L38" s="4" t="e">
        <f t="shared" si="29"/>
        <v>#VALUE!</v>
      </c>
      <c r="M38" s="1" t="e">
        <f t="shared" si="34"/>
        <v>#VALUE!</v>
      </c>
      <c r="N38" s="20" t="e">
        <f>M38*sind(D38)</f>
        <v>#VALUE!</v>
      </c>
      <c r="O38" s="20" t="e">
        <f>M38*cosd(D38)</f>
        <v>#VALUE!</v>
      </c>
      <c r="P38">
        <f>C38/$S$4</f>
        <v>2.916666666666667</v>
      </c>
    </row>
    <row r="39" spans="2:16" x14ac:dyDescent="0.25">
      <c r="B39">
        <v>6</v>
      </c>
      <c r="C39">
        <v>7.2</v>
      </c>
      <c r="D39" s="5">
        <v>65</v>
      </c>
      <c r="E39" s="4">
        <f t="shared" si="30"/>
        <v>1.1344640137963142</v>
      </c>
      <c r="F39" s="7">
        <f t="shared" si="31"/>
        <v>6.5254160666638796</v>
      </c>
      <c r="G39" s="7">
        <f t="shared" si="32"/>
        <v>3.0428514845330361</v>
      </c>
      <c r="H39" s="7">
        <f t="shared" si="33"/>
        <v>0.52541606666387963</v>
      </c>
      <c r="I39" s="20">
        <f t="shared" si="28"/>
        <v>99.796788396671658</v>
      </c>
      <c r="J39" s="20">
        <f>I39-D39</f>
        <v>34.796788396671658</v>
      </c>
      <c r="K39" s="7">
        <f>(G39^2+H39^2)^0.5</f>
        <v>3.0878806971826882</v>
      </c>
      <c r="L39" s="4" t="e">
        <f t="shared" si="29"/>
        <v>#VALUE!</v>
      </c>
      <c r="M39" s="1" t="e">
        <f t="shared" si="34"/>
        <v>#VALUE!</v>
      </c>
      <c r="N39" s="20" t="e">
        <f>M39*sind(D39)</f>
        <v>#VALUE!</v>
      </c>
      <c r="O39" s="20" t="e">
        <f>M39*cosd(D39)</f>
        <v>#VALUE!</v>
      </c>
      <c r="P39">
        <f>C39/$S$4</f>
        <v>3</v>
      </c>
    </row>
    <row r="40" spans="2:16" x14ac:dyDescent="0.25">
      <c r="B40">
        <v>6</v>
      </c>
      <c r="C40">
        <v>7</v>
      </c>
      <c r="D40" s="5">
        <v>70</v>
      </c>
      <c r="E40" s="4">
        <f t="shared" si="30"/>
        <v>1.2217304763960306</v>
      </c>
      <c r="F40" s="7">
        <f t="shared" si="31"/>
        <v>6.5778483455013586</v>
      </c>
      <c r="G40" s="7">
        <f t="shared" si="32"/>
        <v>2.3941410032796817</v>
      </c>
      <c r="H40" s="7">
        <f t="shared" si="33"/>
        <v>0.57784834550135855</v>
      </c>
      <c r="I40" s="20">
        <f t="shared" si="28"/>
        <v>103.56935436038081</v>
      </c>
      <c r="J40" s="20">
        <f>I40-D40</f>
        <v>33.569354360380814</v>
      </c>
      <c r="K40" s="7">
        <f>(G40^2+H40^2)^0.5</f>
        <v>2.4628885183831803</v>
      </c>
      <c r="L40" s="4" t="e">
        <f t="shared" si="29"/>
        <v>#VALUE!</v>
      </c>
      <c r="M40" s="1" t="e">
        <f t="shared" si="34"/>
        <v>#VALUE!</v>
      </c>
      <c r="N40" s="20" t="e">
        <f>M40*sind(D40)</f>
        <v>#VALUE!</v>
      </c>
      <c r="O40" s="20" t="e">
        <f>M40*cosd(D40)</f>
        <v>#VALUE!</v>
      </c>
      <c r="P40">
        <f>C40/$S$4</f>
        <v>2.916666666666667</v>
      </c>
    </row>
    <row r="41" spans="2:16" x14ac:dyDescent="0.25">
      <c r="B41">
        <v>6</v>
      </c>
      <c r="C41">
        <v>7</v>
      </c>
      <c r="D41" s="5">
        <v>75</v>
      </c>
      <c r="E41" s="4">
        <f t="shared" si="30"/>
        <v>1.3089969389957472</v>
      </c>
      <c r="F41" s="7">
        <f t="shared" si="31"/>
        <v>6.7614807840234779</v>
      </c>
      <c r="G41" s="7">
        <f t="shared" si="32"/>
        <v>1.8117333157176452</v>
      </c>
      <c r="H41" s="7">
        <f t="shared" si="33"/>
        <v>0.76148078402347785</v>
      </c>
      <c r="I41" s="20">
        <f t="shared" si="28"/>
        <v>112.79726465323284</v>
      </c>
      <c r="J41" s="20">
        <f>I41-D41</f>
        <v>37.797264653232844</v>
      </c>
      <c r="K41" s="7">
        <f>(G41^2+H41^2)^0.5</f>
        <v>1.965255859097808</v>
      </c>
      <c r="L41" s="4" t="e">
        <f t="shared" si="29"/>
        <v>#VALUE!</v>
      </c>
      <c r="M41" s="1" t="e">
        <f t="shared" si="34"/>
        <v>#VALUE!</v>
      </c>
      <c r="N41" s="20" t="e">
        <f>M41*sind(D41)</f>
        <v>#VALUE!</v>
      </c>
      <c r="O41" s="20" t="e">
        <f>M41*cosd(D41)</f>
        <v>#VALUE!</v>
      </c>
      <c r="P41">
        <f>C41/$S$4</f>
        <v>2.916666666666667</v>
      </c>
    </row>
    <row r="42" spans="2:16" x14ac:dyDescent="0.25">
      <c r="B42">
        <v>6</v>
      </c>
      <c r="C42">
        <v>7.1</v>
      </c>
      <c r="D42" s="5">
        <v>80</v>
      </c>
      <c r="E42" s="4">
        <f t="shared" si="30"/>
        <v>1.3962634015954636</v>
      </c>
      <c r="F42" s="7">
        <f t="shared" si="31"/>
        <v>6.9921350463866769</v>
      </c>
      <c r="G42" s="7">
        <f t="shared" si="32"/>
        <v>1.232902061435206</v>
      </c>
      <c r="H42" s="7">
        <f t="shared" si="33"/>
        <v>0.99213504638667693</v>
      </c>
      <c r="I42" s="20">
        <f t="shared" si="28"/>
        <v>128.82416261759309</v>
      </c>
      <c r="J42" s="20">
        <f>I42-D42</f>
        <v>48.824162617593089</v>
      </c>
      <c r="K42" s="7">
        <f>(G42^2+H42^2)^0.5</f>
        <v>1.5825231256951269</v>
      </c>
      <c r="L42" s="4" t="e">
        <f t="shared" si="29"/>
        <v>#VALUE!</v>
      </c>
      <c r="M42" s="1" t="e">
        <f t="shared" si="34"/>
        <v>#VALUE!</v>
      </c>
      <c r="N42" s="20" t="e">
        <f>M42*sind(D42)</f>
        <v>#VALUE!</v>
      </c>
      <c r="O42" s="20" t="e">
        <f>M42*cosd(D42)</f>
        <v>#VALUE!</v>
      </c>
      <c r="P42">
        <f>C42/$S$4</f>
        <v>2.9583333333333335</v>
      </c>
    </row>
    <row r="43" spans="2:16" x14ac:dyDescent="0.25">
      <c r="B43">
        <v>6</v>
      </c>
      <c r="C43">
        <v>7.3</v>
      </c>
      <c r="D43" s="5">
        <v>85</v>
      </c>
      <c r="E43" s="4">
        <f t="shared" si="30"/>
        <v>1.4835298641951802</v>
      </c>
      <c r="F43" s="7">
        <f t="shared" si="31"/>
        <v>7.2722212960697421</v>
      </c>
      <c r="G43" s="7">
        <f t="shared" si="32"/>
        <v>0.63623692205790439</v>
      </c>
      <c r="H43" s="7">
        <f t="shared" si="33"/>
        <v>1.2722212960697421</v>
      </c>
      <c r="I43" s="20">
        <f t="shared" si="28"/>
        <v>153.43039950034208</v>
      </c>
      <c r="J43" s="20">
        <f>I43-D43</f>
        <v>68.430399500342077</v>
      </c>
      <c r="K43" s="7">
        <f>(G43^2+H43^2)^0.5</f>
        <v>1.4224431261611448</v>
      </c>
      <c r="L43" s="4" t="e">
        <f t="shared" si="29"/>
        <v>#VALUE!</v>
      </c>
      <c r="M43" s="1" t="e">
        <f t="shared" si="34"/>
        <v>#VALUE!</v>
      </c>
      <c r="N43" s="20" t="e">
        <f>M43*sind(D43)</f>
        <v>#VALUE!</v>
      </c>
      <c r="O43" s="20" t="e">
        <f>M43*cosd(D43)</f>
        <v>#VALUE!</v>
      </c>
      <c r="P43">
        <f>C43/$S$4</f>
        <v>3.0416666666666665</v>
      </c>
    </row>
    <row r="44" spans="2:16" x14ac:dyDescent="0.25">
      <c r="B44">
        <v>6</v>
      </c>
      <c r="C44">
        <v>7.5</v>
      </c>
      <c r="D44" s="5">
        <v>90</v>
      </c>
      <c r="E44" s="4">
        <f t="shared" si="30"/>
        <v>1.5707963267948966</v>
      </c>
      <c r="F44" s="7">
        <f t="shared" si="31"/>
        <v>7.5</v>
      </c>
      <c r="G44" s="7">
        <f t="shared" si="32"/>
        <v>4.594306705907325E-16</v>
      </c>
      <c r="H44" s="7">
        <f t="shared" si="33"/>
        <v>1.5</v>
      </c>
      <c r="I44" s="20">
        <f t="shared" si="28"/>
        <v>179.99999999999997</v>
      </c>
      <c r="J44" s="20">
        <f>I44-D44</f>
        <v>89.999999999999972</v>
      </c>
      <c r="K44" s="7">
        <f>(G44^2+H44^2)^0.5</f>
        <v>1.5</v>
      </c>
      <c r="L44" s="4" t="e">
        <f t="shared" si="29"/>
        <v>#VALUE!</v>
      </c>
      <c r="M44" s="1" t="e">
        <f t="shared" si="34"/>
        <v>#VALUE!</v>
      </c>
      <c r="N44" s="20" t="e">
        <f>M44*sind(D44)</f>
        <v>#VALUE!</v>
      </c>
      <c r="O44" s="20" t="e">
        <f>M44*cosd(D44)</f>
        <v>#VALUE!</v>
      </c>
      <c r="P44">
        <f>C44/$S$4</f>
        <v>3.125</v>
      </c>
    </row>
    <row r="45" spans="2:16" x14ac:dyDescent="0.25">
      <c r="B45">
        <v>6</v>
      </c>
      <c r="C45">
        <v>7</v>
      </c>
      <c r="D45" s="5">
        <v>95</v>
      </c>
      <c r="E45" s="4">
        <f t="shared" si="30"/>
        <v>1.6580627893946132</v>
      </c>
      <c r="F45" s="7">
        <f t="shared" si="31"/>
        <v>6.973362886642219</v>
      </c>
      <c r="G45" s="7">
        <f t="shared" si="32"/>
        <v>-0.61009019923360763</v>
      </c>
      <c r="H45" s="7">
        <f t="shared" si="33"/>
        <v>0.97336288664221904</v>
      </c>
      <c r="I45" s="20">
        <f t="shared" si="28"/>
        <v>212.07890864305065</v>
      </c>
      <c r="J45" s="20">
        <f>I45-D45</f>
        <v>117.07890864305065</v>
      </c>
      <c r="K45" s="7">
        <f>(G45^2+H45^2)^0.5</f>
        <v>1.148758181817817</v>
      </c>
      <c r="L45" s="4" t="e">
        <f t="shared" si="29"/>
        <v>#VALUE!</v>
      </c>
      <c r="M45" s="1" t="e">
        <f t="shared" si="34"/>
        <v>#VALUE!</v>
      </c>
      <c r="N45" s="20" t="e">
        <f>M45*sind(D45)</f>
        <v>#VALUE!</v>
      </c>
      <c r="O45" s="20" t="e">
        <f>M45*cosd(D45)</f>
        <v>#VALUE!</v>
      </c>
      <c r="P45">
        <f>C45/$S$4</f>
        <v>2.916666666666667</v>
      </c>
    </row>
    <row r="46" spans="2:16" x14ac:dyDescent="0.25">
      <c r="B46">
        <v>6</v>
      </c>
      <c r="C46">
        <v>7</v>
      </c>
      <c r="D46" s="5">
        <v>100</v>
      </c>
      <c r="E46" s="4">
        <f t="shared" si="30"/>
        <v>1.7453292519943295</v>
      </c>
      <c r="F46" s="7">
        <f t="shared" si="31"/>
        <v>6.893654271085456</v>
      </c>
      <c r="G46" s="7">
        <f t="shared" si="32"/>
        <v>-1.2155372436685121</v>
      </c>
      <c r="H46" s="7">
        <f t="shared" si="33"/>
        <v>0.89365427108545603</v>
      </c>
      <c r="I46" s="20">
        <f t="shared" si="28"/>
        <v>233.67694088280274</v>
      </c>
      <c r="J46" s="20">
        <f>I46-D46</f>
        <v>133.67694088280274</v>
      </c>
      <c r="K46" s="7">
        <f>(G46^2+H46^2)^0.5</f>
        <v>1.5086910707545536</v>
      </c>
      <c r="L46" s="4" t="e">
        <f t="shared" si="29"/>
        <v>#VALUE!</v>
      </c>
      <c r="M46" s="1" t="e">
        <f t="shared" si="34"/>
        <v>#VALUE!</v>
      </c>
      <c r="N46" s="20" t="e">
        <f>M46*sind(D46)</f>
        <v>#VALUE!</v>
      </c>
      <c r="O46" s="20" t="e">
        <f>M46*cosd(D46)</f>
        <v>#VALUE!</v>
      </c>
      <c r="P46">
        <f>C46/$S$4</f>
        <v>2.916666666666667</v>
      </c>
    </row>
    <row r="47" spans="2:16" x14ac:dyDescent="0.25">
      <c r="B47">
        <v>6</v>
      </c>
      <c r="C47">
        <v>7</v>
      </c>
      <c r="D47" s="5">
        <v>105</v>
      </c>
      <c r="E47" s="4">
        <f t="shared" si="30"/>
        <v>1.8325957145940461</v>
      </c>
      <c r="F47" s="7">
        <f t="shared" si="31"/>
        <v>6.7614807840234779</v>
      </c>
      <c r="G47" s="7">
        <f t="shared" si="32"/>
        <v>-1.8117333157176461</v>
      </c>
      <c r="H47" s="7">
        <f t="shared" si="33"/>
        <v>0.76148078402347785</v>
      </c>
      <c r="I47" s="20">
        <f t="shared" si="28"/>
        <v>247.20273534676716</v>
      </c>
      <c r="J47" s="20">
        <f>I47-D47</f>
        <v>142.20273534676716</v>
      </c>
      <c r="K47" s="7">
        <f>(G47^2+H47^2)^0.5</f>
        <v>1.9652558590978086</v>
      </c>
      <c r="L47" s="4" t="e">
        <f t="shared" si="29"/>
        <v>#VALUE!</v>
      </c>
      <c r="M47" s="1" t="e">
        <f t="shared" si="34"/>
        <v>#VALUE!</v>
      </c>
      <c r="N47" s="20" t="e">
        <f>M47*sind(D47)</f>
        <v>#VALUE!</v>
      </c>
      <c r="O47" s="20" t="e">
        <f>M47*cosd(D47)</f>
        <v>#VALUE!</v>
      </c>
      <c r="P47">
        <f>C47/$S$4</f>
        <v>2.916666666666667</v>
      </c>
    </row>
    <row r="48" spans="2:16" x14ac:dyDescent="0.25">
      <c r="B48">
        <v>6</v>
      </c>
      <c r="C48">
        <v>7</v>
      </c>
      <c r="D48" s="5">
        <v>110</v>
      </c>
      <c r="E48" s="4">
        <f t="shared" si="30"/>
        <v>1.9198621771937625</v>
      </c>
      <c r="F48" s="7">
        <f t="shared" si="31"/>
        <v>6.5778483455013586</v>
      </c>
      <c r="G48" s="7">
        <f t="shared" si="32"/>
        <v>-2.3941410032796808</v>
      </c>
      <c r="H48" s="7">
        <f t="shared" si="33"/>
        <v>0.57784834550135855</v>
      </c>
      <c r="I48" s="20">
        <f t="shared" si="28"/>
        <v>256.43064563961917</v>
      </c>
      <c r="J48" s="20">
        <f>I48-D48</f>
        <v>146.43064563961917</v>
      </c>
      <c r="K48" s="7">
        <f>(G48^2+H48^2)^0.5</f>
        <v>2.4628885183831795</v>
      </c>
      <c r="L48" s="4" t="e">
        <f t="shared" si="29"/>
        <v>#VALUE!</v>
      </c>
      <c r="M48" s="1" t="e">
        <f t="shared" si="34"/>
        <v>#VALUE!</v>
      </c>
      <c r="N48" s="20" t="e">
        <f>M48*sind(D48)</f>
        <v>#VALUE!</v>
      </c>
      <c r="O48" s="20" t="e">
        <f>M48*cosd(D48)</f>
        <v>#VALUE!</v>
      </c>
      <c r="P48">
        <f>C48/$S$4</f>
        <v>2.916666666666667</v>
      </c>
    </row>
    <row r="49" spans="2:18" x14ac:dyDescent="0.25">
      <c r="B49">
        <v>6</v>
      </c>
      <c r="C49">
        <v>7</v>
      </c>
      <c r="D49" s="5">
        <v>115</v>
      </c>
      <c r="E49" s="4">
        <f t="shared" si="30"/>
        <v>2.0071286397934789</v>
      </c>
      <c r="F49" s="7">
        <f t="shared" si="31"/>
        <v>6.3441545092565503</v>
      </c>
      <c r="G49" s="7">
        <f t="shared" si="32"/>
        <v>-2.9583278321848954</v>
      </c>
      <c r="H49" s="7">
        <f t="shared" si="33"/>
        <v>0.34415450925655033</v>
      </c>
      <c r="I49" s="20">
        <f t="shared" si="28"/>
        <v>263.36437249110446</v>
      </c>
      <c r="J49" s="20">
        <f>I49-D49</f>
        <v>148.36437249110446</v>
      </c>
      <c r="K49" s="7">
        <f>(G49^2+H49^2)^0.5</f>
        <v>2.9782790146192482</v>
      </c>
      <c r="L49" s="4" t="e">
        <f t="shared" si="29"/>
        <v>#VALUE!</v>
      </c>
      <c r="M49" s="1" t="e">
        <f t="shared" si="34"/>
        <v>#VALUE!</v>
      </c>
      <c r="N49" s="20" t="e">
        <f>M49*sind(D49)</f>
        <v>#VALUE!</v>
      </c>
      <c r="O49" s="20" t="e">
        <f>M49*cosd(D49)</f>
        <v>#VALUE!</v>
      </c>
      <c r="P49">
        <f>C49/$S$4</f>
        <v>2.916666666666667</v>
      </c>
    </row>
    <row r="50" spans="2:18" x14ac:dyDescent="0.25">
      <c r="B50">
        <v>6</v>
      </c>
      <c r="C50">
        <v>7.3</v>
      </c>
      <c r="D50" s="5">
        <v>120</v>
      </c>
      <c r="E50" s="4">
        <f t="shared" si="30"/>
        <v>2.0943951023931953</v>
      </c>
      <c r="F50" s="7">
        <f t="shared" si="31"/>
        <v>6.3219854476264024</v>
      </c>
      <c r="G50" s="7">
        <f t="shared" si="32"/>
        <v>-3.6499999999999981</v>
      </c>
      <c r="H50" s="7">
        <f t="shared" si="33"/>
        <v>0.32198544762640235</v>
      </c>
      <c r="I50" s="20">
        <f t="shared" si="28"/>
        <v>264.95869185100668</v>
      </c>
      <c r="J50" s="20">
        <f>I50-D50</f>
        <v>144.95869185100668</v>
      </c>
      <c r="K50" s="7">
        <f>(G50^2+H50^2)^0.5</f>
        <v>3.66417448117351</v>
      </c>
      <c r="L50" s="4" t="e">
        <f t="shared" si="29"/>
        <v>#VALUE!</v>
      </c>
      <c r="M50" s="1" t="e">
        <f t="shared" si="34"/>
        <v>#VALUE!</v>
      </c>
      <c r="N50" s="20" t="e">
        <f>M50*sind(D50)</f>
        <v>#VALUE!</v>
      </c>
      <c r="O50" s="20" t="e">
        <f>M50*cosd(D50)</f>
        <v>#VALUE!</v>
      </c>
      <c r="P50">
        <f>C50/$S$4</f>
        <v>3.0416666666666665</v>
      </c>
    </row>
    <row r="51" spans="2:18" x14ac:dyDescent="0.25">
      <c r="B51">
        <v>6</v>
      </c>
      <c r="C51">
        <v>7.6</v>
      </c>
      <c r="D51" s="5">
        <v>125</v>
      </c>
      <c r="E51" s="4">
        <f t="shared" si="30"/>
        <v>2.1816615649929116</v>
      </c>
      <c r="F51" s="7">
        <f t="shared" si="31"/>
        <v>6.2255555365963389</v>
      </c>
      <c r="G51" s="7">
        <f t="shared" si="32"/>
        <v>-4.359180916267948</v>
      </c>
      <c r="H51" s="7">
        <f t="shared" si="33"/>
        <v>0.22555553659633887</v>
      </c>
      <c r="I51" s="20">
        <f t="shared" si="28"/>
        <v>267.03800650336058</v>
      </c>
      <c r="J51" s="20">
        <f>I51-D51</f>
        <v>142.03800650336058</v>
      </c>
      <c r="K51" s="7">
        <f>(G51^2+H51^2)^0.5</f>
        <v>4.3650124353595983</v>
      </c>
      <c r="L51" s="4" t="e">
        <f t="shared" si="29"/>
        <v>#VALUE!</v>
      </c>
      <c r="M51" s="1" t="e">
        <f t="shared" si="34"/>
        <v>#VALUE!</v>
      </c>
      <c r="N51" s="20" t="e">
        <f>M51*sind(D51)</f>
        <v>#VALUE!</v>
      </c>
      <c r="O51" s="20" t="e">
        <f>M51*cosd(D51)</f>
        <v>#VALUE!</v>
      </c>
      <c r="P51">
        <f>C51/$S$4</f>
        <v>3.1666666666666665</v>
      </c>
    </row>
    <row r="52" spans="2:18" x14ac:dyDescent="0.25">
      <c r="D52"/>
    </row>
    <row r="53" spans="2:18" x14ac:dyDescent="0.25">
      <c r="B53" t="s">
        <v>14</v>
      </c>
      <c r="C53" t="s">
        <v>15</v>
      </c>
      <c r="F53" s="5" t="s">
        <v>12</v>
      </c>
      <c r="G53" s="5" t="s">
        <v>13</v>
      </c>
      <c r="H53" s="5" t="s">
        <v>16</v>
      </c>
      <c r="I53" s="5" t="s">
        <v>39</v>
      </c>
      <c r="J53" s="5" t="s">
        <v>40</v>
      </c>
      <c r="K53" s="14" t="s">
        <v>30</v>
      </c>
      <c r="L53" s="5" t="s">
        <v>31</v>
      </c>
      <c r="M53">
        <v>0.125</v>
      </c>
      <c r="N53" s="5" t="s">
        <v>34</v>
      </c>
      <c r="O53" s="5" t="s">
        <v>35</v>
      </c>
      <c r="P53">
        <v>2.4</v>
      </c>
    </row>
    <row r="54" spans="2:18" x14ac:dyDescent="0.25">
      <c r="B54">
        <v>6</v>
      </c>
      <c r="C54">
        <v>1.04</v>
      </c>
      <c r="D54" s="5">
        <v>10</v>
      </c>
      <c r="E54" s="4">
        <f t="shared" ref="E54:E55" si="35">D54*PI()/180</f>
        <v>0.17453292519943295</v>
      </c>
      <c r="F54" s="7">
        <f t="shared" ref="F54:F55" si="36">C54*SIN(E54)</f>
        <v>0.18059410477360754</v>
      </c>
      <c r="G54" s="7">
        <f t="shared" ref="G54:G55" si="37">C54*COS(E54)</f>
        <v>1.0242000631326964</v>
      </c>
      <c r="H54" s="7">
        <f t="shared" ref="H54:H55" si="38">F54-B54</f>
        <v>-5.8194058952263923</v>
      </c>
      <c r="I54" s="20">
        <f>IF((H54)&gt;0,180-(180/PI())*ATAN(G54/H54),(180/PI())*ATAN(-G54/H54))</f>
        <v>9.981682464573467</v>
      </c>
      <c r="J54" s="20">
        <f>I54-D54</f>
        <v>-1.8317535426533027E-2</v>
      </c>
      <c r="K54" s="7">
        <f>(G54^2+H54^2)^0.5</f>
        <v>5.908846820041683</v>
      </c>
      <c r="L54" s="4" t="e">
        <f>Coppel_Polar($L$29,J54)</f>
        <v>#VALUE!</v>
      </c>
      <c r="M54" s="1" t="e">
        <f t="shared" ref="M54:M55" si="39">0.5*1000*L54*$P$4*K54^2</f>
        <v>#VALUE!</v>
      </c>
      <c r="N54" s="20" t="e">
        <f>M54*sind(D54)</f>
        <v>#VALUE!</v>
      </c>
      <c r="O54" s="20" t="e">
        <f>M54*cosd(D54)</f>
        <v>#VALUE!</v>
      </c>
      <c r="P54">
        <f>C54/$S$4</f>
        <v>0.43333333333333335</v>
      </c>
      <c r="R54">
        <f>B54*(TAN(E54))/(SIN(E54)*TAN(E54)+COS(E54))</f>
        <v>1.0418890660015823</v>
      </c>
    </row>
    <row r="55" spans="2:18" x14ac:dyDescent="0.25">
      <c r="B55">
        <v>6</v>
      </c>
      <c r="C55">
        <v>2.2000000000000002</v>
      </c>
      <c r="D55" s="5">
        <v>20</v>
      </c>
      <c r="E55" s="4">
        <f t="shared" si="35"/>
        <v>0.3490658503988659</v>
      </c>
      <c r="F55" s="7">
        <f t="shared" si="36"/>
        <v>0.75244431531647127</v>
      </c>
      <c r="G55" s="7">
        <f t="shared" si="37"/>
        <v>2.0673237657289989</v>
      </c>
      <c r="H55" s="7">
        <f t="shared" si="38"/>
        <v>-5.2475556846835287</v>
      </c>
      <c r="I55" s="20">
        <f t="shared" ref="I55:I75" si="40">IF((H55)&gt;0,180-(180/PI())*ATAN(G55/H55),(180/PI())*ATAN(-G55/H55))</f>
        <v>21.502425425755828</v>
      </c>
      <c r="J55" s="20">
        <f>I55-D55</f>
        <v>1.5024254257558276</v>
      </c>
      <c r="K55" s="7">
        <f>(G55^2+H55^2)^0.5</f>
        <v>5.6400946992229084</v>
      </c>
      <c r="L55" s="4" t="e">
        <f t="shared" ref="L55:L75" si="41">Coppel_Polar($L$29,J55)</f>
        <v>#VALUE!</v>
      </c>
      <c r="M55" s="1" t="e">
        <f t="shared" si="39"/>
        <v>#VALUE!</v>
      </c>
      <c r="N55" s="20" t="e">
        <f>M55*sind(D55)</f>
        <v>#VALUE!</v>
      </c>
      <c r="O55" s="20" t="e">
        <f>M55*cosd(D55)</f>
        <v>#VALUE!</v>
      </c>
      <c r="P55">
        <f>C55/$S$4</f>
        <v>0.91666666666666674</v>
      </c>
    </row>
    <row r="56" spans="2:18" x14ac:dyDescent="0.25">
      <c r="B56">
        <v>6</v>
      </c>
      <c r="C56">
        <v>3.5</v>
      </c>
      <c r="D56" s="5">
        <v>30</v>
      </c>
      <c r="E56" s="4">
        <f>D56*PI()/180</f>
        <v>0.52359877559829882</v>
      </c>
      <c r="F56" s="7">
        <f>C56*SIN(E56)</f>
        <v>1.7499999999999998</v>
      </c>
      <c r="G56" s="7">
        <f>C56*COS(E56)</f>
        <v>3.0310889132455356</v>
      </c>
      <c r="H56" s="7">
        <f>F56-B56</f>
        <v>-4.25</v>
      </c>
      <c r="I56" s="20">
        <f t="shared" si="40"/>
        <v>35.496366544654606</v>
      </c>
      <c r="J56" s="20">
        <f>I56-D56</f>
        <v>5.4963665446546059</v>
      </c>
      <c r="K56" s="7">
        <f>(G56^2+H56^2)^0.5</f>
        <v>5.2201532544552753</v>
      </c>
      <c r="L56" s="4" t="e">
        <f t="shared" si="41"/>
        <v>#VALUE!</v>
      </c>
      <c r="M56" s="1" t="e">
        <f>0.5*1000*L56*$P$4*K56^2</f>
        <v>#VALUE!</v>
      </c>
      <c r="N56" s="20" t="e">
        <f>M56*sind(D56)</f>
        <v>#VALUE!</v>
      </c>
      <c r="O56" s="20" t="e">
        <f>M56*cosd(D56)</f>
        <v>#VALUE!</v>
      </c>
      <c r="P56">
        <f>C56/$S$4</f>
        <v>1.4583333333333335</v>
      </c>
    </row>
    <row r="57" spans="2:18" x14ac:dyDescent="0.25">
      <c r="B57">
        <v>6</v>
      </c>
      <c r="C57">
        <v>2</v>
      </c>
      <c r="D57" s="5">
        <v>35</v>
      </c>
      <c r="E57" s="4">
        <f>D57*PI()/180</f>
        <v>0.6108652381980153</v>
      </c>
      <c r="F57" s="7">
        <f>C57*SIN(E57)</f>
        <v>1.1471528727020921</v>
      </c>
      <c r="G57" s="7">
        <f>C57*COS(E57)</f>
        <v>1.6383040885779836</v>
      </c>
      <c r="H57" s="7">
        <f>F57-B57</f>
        <v>-4.8528471272979079</v>
      </c>
      <c r="I57" s="20">
        <f t="shared" si="40"/>
        <v>18.654501024523846</v>
      </c>
      <c r="J57" s="20">
        <f>I57-D57</f>
        <v>-16.345498975476154</v>
      </c>
      <c r="K57" s="7">
        <f>(G57^2+H57^2)^0.5</f>
        <v>5.1219298635938868</v>
      </c>
      <c r="L57" s="4" t="e">
        <f t="shared" si="41"/>
        <v>#VALUE!</v>
      </c>
      <c r="M57" s="1" t="e">
        <f>0.5*1000*L57*$P$4*K57^2</f>
        <v>#VALUE!</v>
      </c>
      <c r="N57" s="20" t="e">
        <f>M57*sind(D57)</f>
        <v>#VALUE!</v>
      </c>
      <c r="O57" s="20" t="e">
        <f>M57*cosd(D57)</f>
        <v>#VALUE!</v>
      </c>
      <c r="P57">
        <f>C57/$S$4</f>
        <v>0.83333333333333337</v>
      </c>
    </row>
    <row r="58" spans="2:18" x14ac:dyDescent="0.25">
      <c r="B58">
        <v>6</v>
      </c>
      <c r="C58">
        <v>10</v>
      </c>
      <c r="D58" s="5">
        <v>40</v>
      </c>
      <c r="E58" s="4">
        <f t="shared" ref="E58:E75" si="42">D58*PI()/180</f>
        <v>0.69813170079773179</v>
      </c>
      <c r="F58" s="7">
        <f t="shared" ref="F58:F75" si="43">C58*SIN(E58)</f>
        <v>6.4278760968653925</v>
      </c>
      <c r="G58" s="7">
        <f t="shared" ref="G58:G75" si="44">C58*COS(E58)</f>
        <v>7.6604444311897799</v>
      </c>
      <c r="H58" s="7">
        <f t="shared" ref="H58:H75" si="45">F58-B58</f>
        <v>0.42787609686539252</v>
      </c>
      <c r="I58" s="20">
        <f t="shared" si="40"/>
        <v>93.196948660318867</v>
      </c>
      <c r="J58" s="20">
        <f>I58-D58</f>
        <v>53.196948660318867</v>
      </c>
      <c r="K58" s="7">
        <f>(G58^2+H58^2)^0.5</f>
        <v>7.6723846904085349</v>
      </c>
      <c r="L58" s="4" t="e">
        <f t="shared" si="41"/>
        <v>#VALUE!</v>
      </c>
      <c r="M58" s="1" t="e">
        <f t="shared" ref="M58:M75" si="46">0.5*1000*L58*$P$4*K58^2</f>
        <v>#VALUE!</v>
      </c>
      <c r="N58" s="20" t="e">
        <f>M58*sind(D58)</f>
        <v>#VALUE!</v>
      </c>
      <c r="O58" s="20" t="e">
        <f>M58*cosd(D58)</f>
        <v>#VALUE!</v>
      </c>
      <c r="P58">
        <f>C58/$S$4</f>
        <v>4.166666666666667</v>
      </c>
    </row>
    <row r="59" spans="2:18" x14ac:dyDescent="0.25">
      <c r="B59">
        <v>6</v>
      </c>
      <c r="C59">
        <v>8.5</v>
      </c>
      <c r="D59" s="5">
        <v>45</v>
      </c>
      <c r="E59" s="4">
        <f t="shared" si="42"/>
        <v>0.78539816339744828</v>
      </c>
      <c r="F59" s="7">
        <f t="shared" si="43"/>
        <v>6.0104076400856536</v>
      </c>
      <c r="G59" s="7">
        <f t="shared" si="44"/>
        <v>6.0104076400856545</v>
      </c>
      <c r="H59" s="7">
        <f t="shared" si="45"/>
        <v>1.0407640085653647E-2</v>
      </c>
      <c r="I59" s="20">
        <f t="shared" si="40"/>
        <v>90.099213446292325</v>
      </c>
      <c r="J59" s="20">
        <f>I59-D59</f>
        <v>45.099213446292325</v>
      </c>
      <c r="K59" s="7">
        <f>(G59^2+H59^2)^0.5</f>
        <v>6.0104166510294572</v>
      </c>
      <c r="L59" s="4" t="e">
        <f t="shared" si="41"/>
        <v>#VALUE!</v>
      </c>
      <c r="M59" s="1" t="e">
        <f t="shared" si="46"/>
        <v>#VALUE!</v>
      </c>
      <c r="N59" s="20" t="e">
        <f>M59*sind(D59)</f>
        <v>#VALUE!</v>
      </c>
      <c r="O59" s="20" t="e">
        <f>M59*cosd(D59)</f>
        <v>#VALUE!</v>
      </c>
      <c r="P59">
        <f>C59/$S$4</f>
        <v>3.541666666666667</v>
      </c>
    </row>
    <row r="60" spans="2:18" x14ac:dyDescent="0.25">
      <c r="B60">
        <v>6</v>
      </c>
      <c r="C60">
        <v>8</v>
      </c>
      <c r="D60" s="5">
        <v>50</v>
      </c>
      <c r="E60" s="4">
        <f t="shared" si="42"/>
        <v>0.87266462599716477</v>
      </c>
      <c r="F60" s="7">
        <f t="shared" si="43"/>
        <v>6.1283555449518241</v>
      </c>
      <c r="G60" s="7">
        <f t="shared" si="44"/>
        <v>5.1423008774923149</v>
      </c>
      <c r="H60" s="7">
        <f t="shared" si="45"/>
        <v>0.12835554495182411</v>
      </c>
      <c r="I60" s="20">
        <f t="shared" si="40"/>
        <v>91.429847149696329</v>
      </c>
      <c r="J60" s="20">
        <f>I60-D60</f>
        <v>41.429847149696329</v>
      </c>
      <c r="K60" s="7">
        <f>(G60^2+H60^2)^0.5</f>
        <v>5.1439025516214931</v>
      </c>
      <c r="L60" s="4" t="e">
        <f t="shared" si="41"/>
        <v>#VALUE!</v>
      </c>
      <c r="M60" s="1" t="e">
        <f t="shared" si="46"/>
        <v>#VALUE!</v>
      </c>
      <c r="N60" s="20" t="e">
        <f>M60*sind(D60)</f>
        <v>#VALUE!</v>
      </c>
      <c r="O60" s="20" t="e">
        <f>M60*cosd(D60)</f>
        <v>#VALUE!</v>
      </c>
      <c r="P60">
        <f>C60/$S$4</f>
        <v>3.3333333333333335</v>
      </c>
    </row>
    <row r="61" spans="2:18" x14ac:dyDescent="0.25">
      <c r="B61">
        <v>6</v>
      </c>
      <c r="C61">
        <v>7.6</v>
      </c>
      <c r="D61" s="5">
        <v>55</v>
      </c>
      <c r="E61" s="4">
        <f t="shared" si="42"/>
        <v>0.95993108859688125</v>
      </c>
      <c r="F61" s="7">
        <f t="shared" si="43"/>
        <v>6.2255555365963371</v>
      </c>
      <c r="G61" s="7">
        <f t="shared" si="44"/>
        <v>4.3591809162679507</v>
      </c>
      <c r="H61" s="7">
        <f t="shared" si="45"/>
        <v>0.22555553659633709</v>
      </c>
      <c r="I61" s="20">
        <f t="shared" si="40"/>
        <v>92.961993496639408</v>
      </c>
      <c r="J61" s="20">
        <f>I61-D61</f>
        <v>37.961993496639408</v>
      </c>
      <c r="K61" s="7">
        <f>(G61^2+H61^2)^0.5</f>
        <v>4.3650124353596009</v>
      </c>
      <c r="L61" s="4" t="e">
        <f t="shared" si="41"/>
        <v>#VALUE!</v>
      </c>
      <c r="M61" s="1" t="e">
        <f t="shared" si="46"/>
        <v>#VALUE!</v>
      </c>
      <c r="N61" s="20" t="e">
        <f>M61*sind(D61)</f>
        <v>#VALUE!</v>
      </c>
      <c r="O61" s="20" t="e">
        <f>M61*cosd(D61)</f>
        <v>#VALUE!</v>
      </c>
      <c r="P61">
        <f>C61/$S$4</f>
        <v>3.1666666666666665</v>
      </c>
    </row>
    <row r="62" spans="2:18" x14ac:dyDescent="0.25">
      <c r="B62">
        <v>6</v>
      </c>
      <c r="C62">
        <v>7</v>
      </c>
      <c r="D62" s="5">
        <v>60</v>
      </c>
      <c r="E62" s="4">
        <f t="shared" si="42"/>
        <v>1.0471975511965976</v>
      </c>
      <c r="F62" s="7">
        <f t="shared" si="43"/>
        <v>6.0621778264910704</v>
      </c>
      <c r="G62" s="7">
        <f t="shared" si="44"/>
        <v>3.5000000000000009</v>
      </c>
      <c r="H62" s="7">
        <f t="shared" si="45"/>
        <v>6.2177826491070398E-2</v>
      </c>
      <c r="I62" s="20">
        <f t="shared" si="40"/>
        <v>91.017757809164721</v>
      </c>
      <c r="J62" s="20">
        <f>I62-D62</f>
        <v>31.017757809164721</v>
      </c>
      <c r="K62" s="7">
        <f>(G62^2+H62^2)^0.5</f>
        <v>3.5005522538746883</v>
      </c>
      <c r="L62" s="4" t="e">
        <f t="shared" si="41"/>
        <v>#VALUE!</v>
      </c>
      <c r="M62" s="1" t="e">
        <f t="shared" si="46"/>
        <v>#VALUE!</v>
      </c>
      <c r="N62" s="20" t="e">
        <f>M62*sind(D62)</f>
        <v>#VALUE!</v>
      </c>
      <c r="O62" s="20" t="e">
        <f>M62*cosd(D62)</f>
        <v>#VALUE!</v>
      </c>
      <c r="P62">
        <f>C62/$S$4</f>
        <v>2.916666666666667</v>
      </c>
    </row>
    <row r="63" spans="2:18" x14ac:dyDescent="0.25">
      <c r="B63">
        <v>6</v>
      </c>
      <c r="C63">
        <v>7.2</v>
      </c>
      <c r="D63" s="5">
        <v>65</v>
      </c>
      <c r="E63" s="4">
        <f t="shared" si="42"/>
        <v>1.1344640137963142</v>
      </c>
      <c r="F63" s="7">
        <f t="shared" si="43"/>
        <v>6.5254160666638796</v>
      </c>
      <c r="G63" s="7">
        <f t="shared" si="44"/>
        <v>3.0428514845330361</v>
      </c>
      <c r="H63" s="7">
        <f t="shared" si="45"/>
        <v>0.52541606666387963</v>
      </c>
      <c r="I63" s="20">
        <f t="shared" si="40"/>
        <v>99.796788396671658</v>
      </c>
      <c r="J63" s="20">
        <f>I63-D63</f>
        <v>34.796788396671658</v>
      </c>
      <c r="K63" s="7">
        <f>(G63^2+H63^2)^0.5</f>
        <v>3.0878806971826882</v>
      </c>
      <c r="L63" s="4" t="e">
        <f t="shared" si="41"/>
        <v>#VALUE!</v>
      </c>
      <c r="M63" s="1" t="e">
        <f t="shared" si="46"/>
        <v>#VALUE!</v>
      </c>
      <c r="N63" s="20" t="e">
        <f>M63*sind(D63)</f>
        <v>#VALUE!</v>
      </c>
      <c r="O63" s="20" t="e">
        <f>M63*cosd(D63)</f>
        <v>#VALUE!</v>
      </c>
      <c r="P63">
        <f>C63/$S$4</f>
        <v>3</v>
      </c>
    </row>
    <row r="64" spans="2:18" x14ac:dyDescent="0.25">
      <c r="B64">
        <v>6</v>
      </c>
      <c r="C64">
        <v>7</v>
      </c>
      <c r="D64" s="5">
        <v>70</v>
      </c>
      <c r="E64" s="4">
        <f t="shared" si="42"/>
        <v>1.2217304763960306</v>
      </c>
      <c r="F64" s="7">
        <f t="shared" si="43"/>
        <v>6.5778483455013586</v>
      </c>
      <c r="G64" s="7">
        <f t="shared" si="44"/>
        <v>2.3941410032796817</v>
      </c>
      <c r="H64" s="7">
        <f t="shared" si="45"/>
        <v>0.57784834550135855</v>
      </c>
      <c r="I64" s="20">
        <f t="shared" si="40"/>
        <v>103.56935436038081</v>
      </c>
      <c r="J64" s="20">
        <f>I64-D64</f>
        <v>33.569354360380814</v>
      </c>
      <c r="K64" s="7">
        <f>(G64^2+H64^2)^0.5</f>
        <v>2.4628885183831803</v>
      </c>
      <c r="L64" s="4" t="e">
        <f t="shared" si="41"/>
        <v>#VALUE!</v>
      </c>
      <c r="M64" s="1" t="e">
        <f t="shared" si="46"/>
        <v>#VALUE!</v>
      </c>
      <c r="N64" s="20" t="e">
        <f>M64*sind(D64)</f>
        <v>#VALUE!</v>
      </c>
      <c r="O64" s="20" t="e">
        <f>M64*cosd(D64)</f>
        <v>#VALUE!</v>
      </c>
      <c r="P64">
        <f>C64/$S$4</f>
        <v>2.916666666666667</v>
      </c>
    </row>
    <row r="65" spans="2:18" x14ac:dyDescent="0.25">
      <c r="B65">
        <v>6</v>
      </c>
      <c r="C65">
        <v>7</v>
      </c>
      <c r="D65" s="5">
        <v>75</v>
      </c>
      <c r="E65" s="4">
        <f t="shared" si="42"/>
        <v>1.3089969389957472</v>
      </c>
      <c r="F65" s="7">
        <f t="shared" si="43"/>
        <v>6.7614807840234779</v>
      </c>
      <c r="G65" s="7">
        <f t="shared" si="44"/>
        <v>1.8117333157176452</v>
      </c>
      <c r="H65" s="7">
        <f t="shared" si="45"/>
        <v>0.76148078402347785</v>
      </c>
      <c r="I65" s="20">
        <f t="shared" si="40"/>
        <v>112.79726465323284</v>
      </c>
      <c r="J65" s="20">
        <f>I65-D65</f>
        <v>37.797264653232844</v>
      </c>
      <c r="K65" s="7">
        <f>(G65^2+H65^2)^0.5</f>
        <v>1.965255859097808</v>
      </c>
      <c r="L65" s="4" t="e">
        <f t="shared" si="41"/>
        <v>#VALUE!</v>
      </c>
      <c r="M65" s="1" t="e">
        <f t="shared" si="46"/>
        <v>#VALUE!</v>
      </c>
      <c r="N65" s="20" t="e">
        <f>M65*sind(D65)</f>
        <v>#VALUE!</v>
      </c>
      <c r="O65" s="20" t="e">
        <f>M65*cosd(D65)</f>
        <v>#VALUE!</v>
      </c>
      <c r="P65">
        <f>C65/$S$4</f>
        <v>2.916666666666667</v>
      </c>
    </row>
    <row r="66" spans="2:18" x14ac:dyDescent="0.25">
      <c r="B66">
        <v>6</v>
      </c>
      <c r="C66">
        <v>7.1</v>
      </c>
      <c r="D66" s="5">
        <v>80</v>
      </c>
      <c r="E66" s="4">
        <f t="shared" si="42"/>
        <v>1.3962634015954636</v>
      </c>
      <c r="F66" s="7">
        <f t="shared" si="43"/>
        <v>6.9921350463866769</v>
      </c>
      <c r="G66" s="7">
        <f t="shared" si="44"/>
        <v>1.232902061435206</v>
      </c>
      <c r="H66" s="7">
        <f t="shared" si="45"/>
        <v>0.99213504638667693</v>
      </c>
      <c r="I66" s="20">
        <f t="shared" si="40"/>
        <v>128.82416261759309</v>
      </c>
      <c r="J66" s="20">
        <f>I66-D66</f>
        <v>48.824162617593089</v>
      </c>
      <c r="K66" s="7">
        <f>(G66^2+H66^2)^0.5</f>
        <v>1.5825231256951269</v>
      </c>
      <c r="L66" s="4" t="e">
        <f t="shared" si="41"/>
        <v>#VALUE!</v>
      </c>
      <c r="M66" s="1" t="e">
        <f t="shared" si="46"/>
        <v>#VALUE!</v>
      </c>
      <c r="N66" s="20" t="e">
        <f>M66*sind(D66)</f>
        <v>#VALUE!</v>
      </c>
      <c r="O66" s="20" t="e">
        <f>M66*cosd(D66)</f>
        <v>#VALUE!</v>
      </c>
      <c r="P66">
        <f>C66/$S$4</f>
        <v>2.9583333333333335</v>
      </c>
    </row>
    <row r="67" spans="2:18" x14ac:dyDescent="0.25">
      <c r="B67">
        <v>6</v>
      </c>
      <c r="C67">
        <v>7.3</v>
      </c>
      <c r="D67" s="5">
        <v>85</v>
      </c>
      <c r="E67" s="4">
        <f t="shared" si="42"/>
        <v>1.4835298641951802</v>
      </c>
      <c r="F67" s="7">
        <f t="shared" si="43"/>
        <v>7.2722212960697421</v>
      </c>
      <c r="G67" s="7">
        <f t="shared" si="44"/>
        <v>0.63623692205790439</v>
      </c>
      <c r="H67" s="7">
        <f t="shared" si="45"/>
        <v>1.2722212960697421</v>
      </c>
      <c r="I67" s="20">
        <f t="shared" si="40"/>
        <v>153.43039950034208</v>
      </c>
      <c r="J67" s="20">
        <f>I67-D67</f>
        <v>68.430399500342077</v>
      </c>
      <c r="K67" s="7">
        <f>(G67^2+H67^2)^0.5</f>
        <v>1.4224431261611448</v>
      </c>
      <c r="L67" s="4" t="e">
        <f t="shared" si="41"/>
        <v>#VALUE!</v>
      </c>
      <c r="M67" s="1" t="e">
        <f t="shared" si="46"/>
        <v>#VALUE!</v>
      </c>
      <c r="N67" s="20" t="e">
        <f>M67*sind(D67)</f>
        <v>#VALUE!</v>
      </c>
      <c r="O67" s="20" t="e">
        <f>M67*cosd(D67)</f>
        <v>#VALUE!</v>
      </c>
      <c r="P67">
        <f>C67/$S$4</f>
        <v>3.0416666666666665</v>
      </c>
    </row>
    <row r="68" spans="2:18" x14ac:dyDescent="0.25">
      <c r="B68">
        <v>6</v>
      </c>
      <c r="C68">
        <v>7.5</v>
      </c>
      <c r="D68" s="5">
        <v>90</v>
      </c>
      <c r="E68" s="4">
        <f t="shared" si="42"/>
        <v>1.5707963267948966</v>
      </c>
      <c r="F68" s="7">
        <f t="shared" si="43"/>
        <v>7.5</v>
      </c>
      <c r="G68" s="7">
        <f t="shared" si="44"/>
        <v>4.594306705907325E-16</v>
      </c>
      <c r="H68" s="7">
        <f t="shared" si="45"/>
        <v>1.5</v>
      </c>
      <c r="I68" s="20">
        <f t="shared" si="40"/>
        <v>179.99999999999997</v>
      </c>
      <c r="J68" s="20">
        <f>I68-D68</f>
        <v>89.999999999999972</v>
      </c>
      <c r="K68" s="7">
        <f>(G68^2+H68^2)^0.5</f>
        <v>1.5</v>
      </c>
      <c r="L68" s="4" t="e">
        <f t="shared" si="41"/>
        <v>#VALUE!</v>
      </c>
      <c r="M68" s="1" t="e">
        <f t="shared" si="46"/>
        <v>#VALUE!</v>
      </c>
      <c r="N68" s="20" t="e">
        <f>M68*sind(D68)</f>
        <v>#VALUE!</v>
      </c>
      <c r="O68" s="20" t="e">
        <f>M68*cosd(D68)</f>
        <v>#VALUE!</v>
      </c>
      <c r="P68">
        <f>C68/$S$4</f>
        <v>3.125</v>
      </c>
    </row>
    <row r="69" spans="2:18" x14ac:dyDescent="0.25">
      <c r="B69">
        <v>6</v>
      </c>
      <c r="C69">
        <v>7</v>
      </c>
      <c r="D69" s="5">
        <v>95</v>
      </c>
      <c r="E69" s="4">
        <f t="shared" si="42"/>
        <v>1.6580627893946132</v>
      </c>
      <c r="F69" s="7">
        <f t="shared" si="43"/>
        <v>6.973362886642219</v>
      </c>
      <c r="G69" s="7">
        <f t="shared" si="44"/>
        <v>-0.61009019923360763</v>
      </c>
      <c r="H69" s="7">
        <f t="shared" si="45"/>
        <v>0.97336288664221904</v>
      </c>
      <c r="I69" s="20">
        <f t="shared" si="40"/>
        <v>212.07890864305065</v>
      </c>
      <c r="J69" s="20">
        <f>I69-D69</f>
        <v>117.07890864305065</v>
      </c>
      <c r="K69" s="7">
        <f>(G69^2+H69^2)^0.5</f>
        <v>1.148758181817817</v>
      </c>
      <c r="L69" s="4" t="e">
        <f t="shared" si="41"/>
        <v>#VALUE!</v>
      </c>
      <c r="M69" s="1" t="e">
        <f t="shared" si="46"/>
        <v>#VALUE!</v>
      </c>
      <c r="N69" s="20" t="e">
        <f>M69*sind(D69)</f>
        <v>#VALUE!</v>
      </c>
      <c r="O69" s="20" t="e">
        <f>M69*cosd(D69)</f>
        <v>#VALUE!</v>
      </c>
      <c r="P69">
        <f>C69/$S$4</f>
        <v>2.916666666666667</v>
      </c>
    </row>
    <row r="70" spans="2:18" x14ac:dyDescent="0.25">
      <c r="B70">
        <v>6</v>
      </c>
      <c r="C70">
        <v>7</v>
      </c>
      <c r="D70" s="5">
        <v>100</v>
      </c>
      <c r="E70" s="4">
        <f t="shared" si="42"/>
        <v>1.7453292519943295</v>
      </c>
      <c r="F70" s="7">
        <f t="shared" si="43"/>
        <v>6.893654271085456</v>
      </c>
      <c r="G70" s="7">
        <f t="shared" si="44"/>
        <v>-1.2155372436685121</v>
      </c>
      <c r="H70" s="7">
        <f t="shared" si="45"/>
        <v>0.89365427108545603</v>
      </c>
      <c r="I70" s="20">
        <f t="shared" si="40"/>
        <v>233.67694088280274</v>
      </c>
      <c r="J70" s="20">
        <f>I70-D70</f>
        <v>133.67694088280274</v>
      </c>
      <c r="K70" s="7">
        <f>(G70^2+H70^2)^0.5</f>
        <v>1.5086910707545536</v>
      </c>
      <c r="L70" s="4" t="e">
        <f t="shared" si="41"/>
        <v>#VALUE!</v>
      </c>
      <c r="M70" s="1" t="e">
        <f t="shared" si="46"/>
        <v>#VALUE!</v>
      </c>
      <c r="N70" s="20" t="e">
        <f>M70*sind(D70)</f>
        <v>#VALUE!</v>
      </c>
      <c r="O70" s="20" t="e">
        <f>M70*cosd(D70)</f>
        <v>#VALUE!</v>
      </c>
      <c r="P70">
        <f>C70/$S$4</f>
        <v>2.916666666666667</v>
      </c>
    </row>
    <row r="71" spans="2:18" x14ac:dyDescent="0.25">
      <c r="B71">
        <v>6</v>
      </c>
      <c r="C71">
        <v>7</v>
      </c>
      <c r="D71" s="5">
        <v>105</v>
      </c>
      <c r="E71" s="4">
        <f t="shared" si="42"/>
        <v>1.8325957145940461</v>
      </c>
      <c r="F71" s="7">
        <f t="shared" si="43"/>
        <v>6.7614807840234779</v>
      </c>
      <c r="G71" s="7">
        <f t="shared" si="44"/>
        <v>-1.8117333157176461</v>
      </c>
      <c r="H71" s="7">
        <f t="shared" si="45"/>
        <v>0.76148078402347785</v>
      </c>
      <c r="I71" s="20">
        <f t="shared" si="40"/>
        <v>247.20273534676716</v>
      </c>
      <c r="J71" s="20">
        <f>I71-D71</f>
        <v>142.20273534676716</v>
      </c>
      <c r="K71" s="7">
        <f>(G71^2+H71^2)^0.5</f>
        <v>1.9652558590978086</v>
      </c>
      <c r="L71" s="4" t="e">
        <f t="shared" si="41"/>
        <v>#VALUE!</v>
      </c>
      <c r="M71" s="1" t="e">
        <f t="shared" si="46"/>
        <v>#VALUE!</v>
      </c>
      <c r="N71" s="20" t="e">
        <f>M71*sind(D71)</f>
        <v>#VALUE!</v>
      </c>
      <c r="O71" s="20" t="e">
        <f>M71*cosd(D71)</f>
        <v>#VALUE!</v>
      </c>
      <c r="P71">
        <f>C71/$S$4</f>
        <v>2.916666666666667</v>
      </c>
    </row>
    <row r="72" spans="2:18" x14ac:dyDescent="0.25">
      <c r="B72">
        <v>6</v>
      </c>
      <c r="C72">
        <v>7</v>
      </c>
      <c r="D72" s="5">
        <v>110</v>
      </c>
      <c r="E72" s="4">
        <f t="shared" si="42"/>
        <v>1.9198621771937625</v>
      </c>
      <c r="F72" s="7">
        <f t="shared" si="43"/>
        <v>6.5778483455013586</v>
      </c>
      <c r="G72" s="7">
        <f t="shared" si="44"/>
        <v>-2.3941410032796808</v>
      </c>
      <c r="H72" s="7">
        <f t="shared" si="45"/>
        <v>0.57784834550135855</v>
      </c>
      <c r="I72" s="20">
        <f t="shared" si="40"/>
        <v>256.43064563961917</v>
      </c>
      <c r="J72" s="20">
        <f>I72-D72</f>
        <v>146.43064563961917</v>
      </c>
      <c r="K72" s="7">
        <f>(G72^2+H72^2)^0.5</f>
        <v>2.4628885183831795</v>
      </c>
      <c r="L72" s="4" t="e">
        <f t="shared" si="41"/>
        <v>#VALUE!</v>
      </c>
      <c r="M72" s="1" t="e">
        <f t="shared" si="46"/>
        <v>#VALUE!</v>
      </c>
      <c r="N72" s="20" t="e">
        <f>M72*sind(D72)</f>
        <v>#VALUE!</v>
      </c>
      <c r="O72" s="20" t="e">
        <f>M72*cosd(D72)</f>
        <v>#VALUE!</v>
      </c>
      <c r="P72">
        <f>C72/$S$4</f>
        <v>2.916666666666667</v>
      </c>
    </row>
    <row r="73" spans="2:18" x14ac:dyDescent="0.25">
      <c r="B73">
        <v>6</v>
      </c>
      <c r="C73">
        <v>7</v>
      </c>
      <c r="D73" s="5">
        <v>115</v>
      </c>
      <c r="E73" s="4">
        <f t="shared" si="42"/>
        <v>2.0071286397934789</v>
      </c>
      <c r="F73" s="7">
        <f t="shared" si="43"/>
        <v>6.3441545092565503</v>
      </c>
      <c r="G73" s="7">
        <f t="shared" si="44"/>
        <v>-2.9583278321848954</v>
      </c>
      <c r="H73" s="7">
        <f t="shared" si="45"/>
        <v>0.34415450925655033</v>
      </c>
      <c r="I73" s="20">
        <f t="shared" si="40"/>
        <v>263.36437249110446</v>
      </c>
      <c r="J73" s="20">
        <f>I73-D73</f>
        <v>148.36437249110446</v>
      </c>
      <c r="K73" s="7">
        <f>(G73^2+H73^2)^0.5</f>
        <v>2.9782790146192482</v>
      </c>
      <c r="L73" s="4" t="e">
        <f t="shared" si="41"/>
        <v>#VALUE!</v>
      </c>
      <c r="M73" s="1" t="e">
        <f t="shared" si="46"/>
        <v>#VALUE!</v>
      </c>
      <c r="N73" s="20" t="e">
        <f>M73*sind(D73)</f>
        <v>#VALUE!</v>
      </c>
      <c r="O73" s="20" t="e">
        <f>M73*cosd(D73)</f>
        <v>#VALUE!</v>
      </c>
      <c r="P73">
        <f>C73/$S$4</f>
        <v>2.916666666666667</v>
      </c>
    </row>
    <row r="74" spans="2:18" x14ac:dyDescent="0.25">
      <c r="B74">
        <v>6</v>
      </c>
      <c r="C74">
        <v>7.3</v>
      </c>
      <c r="D74" s="5">
        <v>120</v>
      </c>
      <c r="E74" s="4">
        <f t="shared" si="42"/>
        <v>2.0943951023931953</v>
      </c>
      <c r="F74" s="7">
        <f t="shared" si="43"/>
        <v>6.3219854476264024</v>
      </c>
      <c r="G74" s="7">
        <f t="shared" si="44"/>
        <v>-3.6499999999999981</v>
      </c>
      <c r="H74" s="7">
        <f t="shared" si="45"/>
        <v>0.32198544762640235</v>
      </c>
      <c r="I74" s="20">
        <f t="shared" si="40"/>
        <v>264.95869185100668</v>
      </c>
      <c r="J74" s="20">
        <f>I74-D74</f>
        <v>144.95869185100668</v>
      </c>
      <c r="K74" s="7">
        <f>(G74^2+H74^2)^0.5</f>
        <v>3.66417448117351</v>
      </c>
      <c r="L74" s="4" t="e">
        <f t="shared" si="41"/>
        <v>#VALUE!</v>
      </c>
      <c r="M74" s="1" t="e">
        <f t="shared" si="46"/>
        <v>#VALUE!</v>
      </c>
      <c r="N74" s="20" t="e">
        <f>M74*sind(D74)</f>
        <v>#VALUE!</v>
      </c>
      <c r="O74" s="20" t="e">
        <f>M74*cosd(D74)</f>
        <v>#VALUE!</v>
      </c>
      <c r="P74">
        <f>C74/$S$4</f>
        <v>3.0416666666666665</v>
      </c>
    </row>
    <row r="75" spans="2:18" x14ac:dyDescent="0.25">
      <c r="B75">
        <v>6</v>
      </c>
      <c r="C75">
        <v>7.6</v>
      </c>
      <c r="D75" s="5">
        <v>125</v>
      </c>
      <c r="E75" s="4">
        <f t="shared" si="42"/>
        <v>2.1816615649929116</v>
      </c>
      <c r="F75" s="7">
        <f t="shared" si="43"/>
        <v>6.2255555365963389</v>
      </c>
      <c r="G75" s="7">
        <f t="shared" si="44"/>
        <v>-4.359180916267948</v>
      </c>
      <c r="H75" s="7">
        <f t="shared" si="45"/>
        <v>0.22555553659633887</v>
      </c>
      <c r="I75" s="20">
        <f t="shared" si="40"/>
        <v>267.03800650336058</v>
      </c>
      <c r="J75" s="20">
        <f>I75-D75</f>
        <v>142.03800650336058</v>
      </c>
      <c r="K75" s="7">
        <f>(G75^2+H75^2)^0.5</f>
        <v>4.3650124353595983</v>
      </c>
      <c r="L75" s="4" t="e">
        <f t="shared" si="41"/>
        <v>#VALUE!</v>
      </c>
      <c r="M75" s="1" t="e">
        <f t="shared" si="46"/>
        <v>#VALUE!</v>
      </c>
      <c r="N75" s="20" t="e">
        <f>M75*sind(D75)</f>
        <v>#VALUE!</v>
      </c>
      <c r="O75" s="20" t="e">
        <f>M75*cosd(D75)</f>
        <v>#VALUE!</v>
      </c>
      <c r="P75">
        <f>C75/$S$4</f>
        <v>3.1666666666666665</v>
      </c>
    </row>
    <row r="77" spans="2:18" x14ac:dyDescent="0.25">
      <c r="N77">
        <f>90-O77</f>
        <v>60</v>
      </c>
      <c r="O77">
        <v>30</v>
      </c>
    </row>
    <row r="78" spans="2:18" x14ac:dyDescent="0.25">
      <c r="L78">
        <f>ATAN(COS(N77*PI()/180)/(SIN(N77*PI()/180)))*180/PI()</f>
        <v>30.000000000000011</v>
      </c>
      <c r="O78">
        <f>cosd(O77)</f>
        <v>0.86602511658344516</v>
      </c>
    </row>
    <row r="79" spans="2:18" x14ac:dyDescent="0.25">
      <c r="O79">
        <f>sind(O77)</f>
        <v>0.50000049744638264</v>
      </c>
      <c r="P79">
        <f>O79/O78</f>
        <v>0.57735103505881458</v>
      </c>
    </row>
    <row r="80" spans="2:18" x14ac:dyDescent="0.25">
      <c r="O80">
        <f>TAN(O77*PI()/180)</f>
        <v>0.57735026918962573</v>
      </c>
      <c r="Q80">
        <f>O80/O78</f>
        <v>0.66666688775416783</v>
      </c>
      <c r="R80">
        <f>O79/O78</f>
        <v>0.57735103505881458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9:F48"/>
  <sheetViews>
    <sheetView workbookViewId="0">
      <selection activeCell="V34" sqref="V34"/>
    </sheetView>
  </sheetViews>
  <sheetFormatPr defaultRowHeight="15" x14ac:dyDescent="0.25"/>
  <cols>
    <col min="4" max="4" width="12" bestFit="1" customWidth="1"/>
    <col min="5" max="6" width="9.140625" style="17"/>
  </cols>
  <sheetData>
    <row r="9" spans="1:6" x14ac:dyDescent="0.25">
      <c r="C9" s="5" t="s">
        <v>32</v>
      </c>
      <c r="D9" s="5" t="s">
        <v>3</v>
      </c>
      <c r="E9" s="16" t="s">
        <v>31</v>
      </c>
      <c r="F9" s="16" t="s">
        <v>33</v>
      </c>
    </row>
    <row r="10" spans="1:6" x14ac:dyDescent="0.25">
      <c r="A10">
        <f t="shared" ref="A10:A29" si="0">B10*PI()/180</f>
        <v>-3.1415926535897931</v>
      </c>
      <c r="B10">
        <v>-180</v>
      </c>
      <c r="C10" s="15">
        <f>E10*COS(A10)-F10*SIN(A10)</f>
        <v>0</v>
      </c>
      <c r="D10" s="15">
        <f>E10*SIN(A10)+F10*COS(A10)</f>
        <v>0</v>
      </c>
      <c r="E10" s="17">
        <v>0</v>
      </c>
      <c r="F10" s="17">
        <v>0</v>
      </c>
    </row>
    <row r="11" spans="1:6" x14ac:dyDescent="0.25">
      <c r="A11">
        <f t="shared" si="0"/>
        <v>-2.9670597283903604</v>
      </c>
      <c r="B11">
        <v>-170</v>
      </c>
      <c r="C11" s="15">
        <f>E11*COS(A11)-F11*SIN(A11)</f>
        <v>0.78893039833442402</v>
      </c>
      <c r="D11" s="15">
        <f>E11*SIN(A11)+F11*COS(A11)</f>
        <v>0.27040437604426232</v>
      </c>
      <c r="E11" s="17">
        <v>-0.82389999999999997</v>
      </c>
      <c r="F11" s="17">
        <v>-0.1293</v>
      </c>
    </row>
    <row r="12" spans="1:6" x14ac:dyDescent="0.25">
      <c r="A12">
        <f t="shared" si="0"/>
        <v>-2.7925268031909272</v>
      </c>
      <c r="B12">
        <v>-160</v>
      </c>
      <c r="C12" s="15">
        <f>E12*COS(A12)-F12*SIN(A12)</f>
        <v>0.54053890374410962</v>
      </c>
      <c r="D12" s="15">
        <f>E12*SIN(A12)+F12*COS(A12)</f>
        <v>0.42149441697265255</v>
      </c>
      <c r="E12" s="17">
        <v>-0.65210000000000001</v>
      </c>
      <c r="F12" s="17">
        <v>-0.2112</v>
      </c>
    </row>
    <row r="13" spans="1:6" x14ac:dyDescent="0.25">
      <c r="A13">
        <f t="shared" si="0"/>
        <v>-2.6179938779914944</v>
      </c>
      <c r="B13">
        <v>-150</v>
      </c>
      <c r="C13" s="15">
        <f>E13*COS(A13)-F13*SIN(A13)</f>
        <v>0.80820536063027271</v>
      </c>
      <c r="D13" s="15">
        <f>E13*SIN(A13)+F13*COS(A13)</f>
        <v>0.42354725243884034</v>
      </c>
      <c r="E13" s="17">
        <v>-0.91169999999999995</v>
      </c>
      <c r="F13" s="17">
        <v>3.73E-2</v>
      </c>
    </row>
    <row r="14" spans="1:6" x14ac:dyDescent="0.25">
      <c r="A14">
        <f t="shared" si="0"/>
        <v>-2.4434609527920612</v>
      </c>
      <c r="B14">
        <v>-140</v>
      </c>
      <c r="C14" s="15">
        <f>E14*COS(A14)-F14*SIN(A14)</f>
        <v>1.0462101746850658</v>
      </c>
      <c r="D14" s="15">
        <f>E14*SIN(A14)+F14*COS(A14)</f>
        <v>0.76534846337171436</v>
      </c>
      <c r="E14" s="17">
        <v>-1.2934000000000001</v>
      </c>
      <c r="F14" s="17">
        <v>8.6199999999999999E-2</v>
      </c>
    </row>
    <row r="15" spans="1:6" x14ac:dyDescent="0.25">
      <c r="A15">
        <f t="shared" si="0"/>
        <v>-2.2689280275926285</v>
      </c>
      <c r="B15">
        <v>-130</v>
      </c>
      <c r="C15" s="15">
        <f>E15*COS(A15)-F15*SIN(A15)</f>
        <v>1.0360599808536324</v>
      </c>
      <c r="D15" s="15">
        <f>E15*SIN(A15)+F15*COS(A15)</f>
        <v>1.0730884987146077</v>
      </c>
      <c r="E15" s="17">
        <v>-1.488</v>
      </c>
      <c r="F15" s="17">
        <v>0.10390000000000001</v>
      </c>
    </row>
    <row r="16" spans="1:6" x14ac:dyDescent="0.25">
      <c r="A16">
        <f t="shared" si="0"/>
        <v>-2.0943951023931953</v>
      </c>
      <c r="B16">
        <v>-120</v>
      </c>
      <c r="C16" s="15">
        <f>E16*COS(A16)-F16*SIN(A16)</f>
        <v>0.88250856948319067</v>
      </c>
      <c r="D16" s="15">
        <f>E16*SIN(A16)+F16*COS(A16)</f>
        <v>1.3577496804598159</v>
      </c>
      <c r="E16" s="17">
        <v>-1.6171</v>
      </c>
      <c r="F16" s="17">
        <v>8.5400000000000004E-2</v>
      </c>
    </row>
    <row r="17" spans="1:6" x14ac:dyDescent="0.25">
      <c r="A17">
        <f t="shared" si="0"/>
        <v>-1.9198621771937625</v>
      </c>
      <c r="B17">
        <v>-110</v>
      </c>
      <c r="C17" s="15">
        <f>E17*COS(A17)-F17*SIN(A17)</f>
        <v>0.68128419058868817</v>
      </c>
      <c r="D17" s="15">
        <f>E17*SIN(A17)+F17*COS(A17)</f>
        <v>1.5434696957355256</v>
      </c>
      <c r="E17" s="17">
        <v>-1.6834</v>
      </c>
      <c r="F17" s="17">
        <v>0.1123</v>
      </c>
    </row>
    <row r="18" spans="1:6" x14ac:dyDescent="0.25">
      <c r="A18">
        <f t="shared" si="0"/>
        <v>-1.7453292519943295</v>
      </c>
      <c r="B18">
        <v>-100</v>
      </c>
      <c r="C18" s="15">
        <f>E18*COS(A18)-F18*SIN(A18)</f>
        <v>0.34625814240992836</v>
      </c>
      <c r="D18" s="15">
        <f>E18*SIN(A18)+F18*COS(A18)</f>
        <v>1.7293455492800813</v>
      </c>
      <c r="E18" s="17">
        <v>-1.7632000000000001</v>
      </c>
      <c r="F18" s="17">
        <v>4.07E-2</v>
      </c>
    </row>
    <row r="19" spans="1:6" x14ac:dyDescent="0.25">
      <c r="A19">
        <f t="shared" si="0"/>
        <v>-1.5707963267948966</v>
      </c>
      <c r="B19">
        <v>-90</v>
      </c>
      <c r="C19" s="15">
        <f>E19*COS(A19)-F19*SIN(A19)</f>
        <v>-9.6000000000001119E-3</v>
      </c>
      <c r="D19" s="15">
        <f>E19*SIN(A19)+F19*COS(A19)</f>
        <v>1.8376999999999999</v>
      </c>
      <c r="E19" s="17">
        <v>-1.8376999999999999</v>
      </c>
      <c r="F19" s="17">
        <v>-9.5999999999999992E-3</v>
      </c>
    </row>
    <row r="20" spans="1:6" x14ac:dyDescent="0.25">
      <c r="A20">
        <f t="shared" si="0"/>
        <v>-1.3962634015954636</v>
      </c>
      <c r="B20">
        <v>-80</v>
      </c>
      <c r="C20" s="15">
        <f>E20*COS(A20)-F20*SIN(A20)</f>
        <v>-0.39113268604342438</v>
      </c>
      <c r="D20" s="15">
        <f>E20*SIN(A20)+F20*COS(A20)</f>
        <v>1.7897711674704271</v>
      </c>
      <c r="E20" s="17">
        <v>-1.8305</v>
      </c>
      <c r="F20" s="17">
        <v>-7.4399999999999994E-2</v>
      </c>
    </row>
    <row r="21" spans="1:6" x14ac:dyDescent="0.25">
      <c r="A21">
        <f t="shared" si="0"/>
        <v>-1.2217304763960306</v>
      </c>
      <c r="B21">
        <v>-70</v>
      </c>
      <c r="C21" s="15">
        <f>E21*COS(A21)-F21*SIN(A21)</f>
        <v>-0.71565515338417718</v>
      </c>
      <c r="D21" s="15">
        <f>E21*SIN(A21)+F21*COS(A21)</f>
        <v>1.6019403457790398</v>
      </c>
      <c r="E21" s="17">
        <v>-1.7501</v>
      </c>
      <c r="F21" s="17">
        <v>-0.1246</v>
      </c>
    </row>
    <row r="22" spans="1:6" x14ac:dyDescent="0.25">
      <c r="A22">
        <f t="shared" si="0"/>
        <v>-0.95993108859688125</v>
      </c>
      <c r="B22">
        <v>-55</v>
      </c>
      <c r="C22" s="15">
        <f>E22*COS(A22)-F22*SIN(A22)</f>
        <v>-1.0800631960784883</v>
      </c>
      <c r="D22" s="15">
        <f>E22*SIN(A22)+F22*COS(A22)</f>
        <v>1.2654564048108179</v>
      </c>
      <c r="E22" s="17">
        <v>-1.6560999999999999</v>
      </c>
      <c r="F22" s="17">
        <v>-0.15890000000000001</v>
      </c>
    </row>
    <row r="23" spans="1:6" x14ac:dyDescent="0.25">
      <c r="A23">
        <f t="shared" si="0"/>
        <v>-0.78539816339744828</v>
      </c>
      <c r="B23">
        <v>-45</v>
      </c>
      <c r="C23" s="15">
        <f>E23*COS(A23)-F23*SIN(A23)</f>
        <v>-1.1684232452326511</v>
      </c>
      <c r="D23" s="15">
        <f>E23*SIN(A23)+F23*COS(A23)</f>
        <v>0.87638814460260694</v>
      </c>
      <c r="E23" s="17">
        <v>-1.4459</v>
      </c>
      <c r="F23" s="17">
        <v>-0.20649999999999999</v>
      </c>
    </row>
    <row r="24" spans="1:6" x14ac:dyDescent="0.25">
      <c r="A24">
        <f t="shared" si="0"/>
        <v>-0.57595865315812877</v>
      </c>
      <c r="B24">
        <v>-33</v>
      </c>
      <c r="C24" s="15">
        <f>E24*COS(A24)-F24*SIN(A24)</f>
        <v>-1.0410746685898904</v>
      </c>
      <c r="D24" s="15">
        <f>E24*SIN(A24)+F24*COS(A24)</f>
        <v>0.45310985910753443</v>
      </c>
      <c r="E24" s="17">
        <v>-1.1198999999999999</v>
      </c>
      <c r="F24" s="17">
        <v>-0.187</v>
      </c>
    </row>
    <row r="25" spans="1:6" x14ac:dyDescent="0.25">
      <c r="A25">
        <f t="shared" si="0"/>
        <v>-0.40142572795869574</v>
      </c>
      <c r="B25">
        <v>-23</v>
      </c>
      <c r="C25" s="15">
        <f>E25*COS(A25)-F25*SIN(A25)</f>
        <v>-0.66560904730258297</v>
      </c>
      <c r="D25" s="15">
        <f>E25*SIN(A25)+F25*COS(A25)</f>
        <v>0.12490338725970546</v>
      </c>
      <c r="E25" s="17">
        <v>-0.66149999999999998</v>
      </c>
      <c r="F25" s="17">
        <v>-0.14510000000000001</v>
      </c>
    </row>
    <row r="26" spans="1:6" x14ac:dyDescent="0.25">
      <c r="A26">
        <f t="shared" si="0"/>
        <v>-0.29670597283903605</v>
      </c>
      <c r="B26">
        <v>-17</v>
      </c>
      <c r="C26" s="15">
        <f>E26*COS(A26)-F26*SIN(A26)</f>
        <v>-0.64102905682739564</v>
      </c>
      <c r="D26" s="15">
        <f>E26*SIN(A26)+F26*COS(A26)</f>
        <v>1.7378098370637141E-2</v>
      </c>
      <c r="E26" s="17">
        <v>-0.61809999999999998</v>
      </c>
      <c r="F26" s="17">
        <v>-0.17080000000000001</v>
      </c>
    </row>
    <row r="27" spans="1:6" x14ac:dyDescent="0.25">
      <c r="A27">
        <f t="shared" si="0"/>
        <v>-0.26179938779914941</v>
      </c>
      <c r="B27">
        <v>-15</v>
      </c>
      <c r="C27" s="15">
        <f>E27*COS(A27)-F27*SIN(A27)</f>
        <v>-1.0014096505417762</v>
      </c>
      <c r="D27" s="15">
        <f>E27*SIN(A27)+F27*COS(A27)</f>
        <v>0.16966508716232079</v>
      </c>
      <c r="E27" s="17">
        <v>-1.0112000000000001</v>
      </c>
      <c r="F27" s="17">
        <v>-9.5299999999999996E-2</v>
      </c>
    </row>
    <row r="28" spans="1:6" x14ac:dyDescent="0.25">
      <c r="A28">
        <f t="shared" si="0"/>
        <v>-0.17453292519943295</v>
      </c>
      <c r="B28">
        <v>-10</v>
      </c>
      <c r="C28" s="15">
        <f>E28*COS(A28)-F28*SIN(A28)</f>
        <v>-0.83847842014428087</v>
      </c>
      <c r="D28" s="15">
        <f>E28*SIN(A28)+F28*COS(A28)</f>
        <v>0.15871143296042228</v>
      </c>
      <c r="E28" s="17">
        <v>-0.85329999999999995</v>
      </c>
      <c r="F28" s="17">
        <v>1.0699999999999999E-2</v>
      </c>
    </row>
    <row r="29" spans="1:6" x14ac:dyDescent="0.25">
      <c r="A29">
        <f t="shared" si="0"/>
        <v>0</v>
      </c>
      <c r="B29">
        <v>0</v>
      </c>
      <c r="C29" s="15">
        <f>E29*COS(A29)-F29*SIN(A29)</f>
        <v>0</v>
      </c>
      <c r="D29" s="15">
        <f>E29*SIN(A29)+F29*COS(A29)</f>
        <v>0</v>
      </c>
      <c r="E29" s="17">
        <v>0</v>
      </c>
      <c r="F29" s="17">
        <v>0</v>
      </c>
    </row>
    <row r="30" spans="1:6" x14ac:dyDescent="0.25">
      <c r="A30">
        <f>B30*PI()/180</f>
        <v>0.17453292519943295</v>
      </c>
      <c r="B30">
        <v>10</v>
      </c>
      <c r="C30" s="15">
        <f>E30*COS(A30)-F30*SIN(A30)</f>
        <v>0.86278916501765113</v>
      </c>
      <c r="D30" s="15">
        <f>E30*SIN(A30)+F30*COS(A30)</f>
        <v>2.0838347538713164E-2</v>
      </c>
      <c r="E30" s="17">
        <v>0.85329999999999995</v>
      </c>
      <c r="F30" s="17">
        <v>-0.1293</v>
      </c>
    </row>
    <row r="31" spans="1:6" x14ac:dyDescent="0.25">
      <c r="A31">
        <f t="shared" ref="A31:A48" si="1">B31*PI()/180</f>
        <v>0.26179938779914941</v>
      </c>
      <c r="B31">
        <v>15</v>
      </c>
      <c r="C31" s="15">
        <f>E31*COS(A31)-F31*SIN(A31)</f>
        <v>1.0314067778691585</v>
      </c>
      <c r="D31" s="15">
        <f>E31*SIN(A31)+F31*COS(A31)</f>
        <v>5.7714283895417773E-2</v>
      </c>
      <c r="E31" s="17">
        <v>1.0112000000000001</v>
      </c>
      <c r="F31" s="17">
        <v>-0.2112</v>
      </c>
    </row>
    <row r="32" spans="1:6" x14ac:dyDescent="0.25">
      <c r="A32">
        <f t="shared" si="1"/>
        <v>0.29670597283903605</v>
      </c>
      <c r="B32">
        <v>17</v>
      </c>
      <c r="C32" s="15">
        <f>E32*COS(A32)-F32*SIN(A32)</f>
        <v>0.58018650507459413</v>
      </c>
      <c r="D32" s="15">
        <f>E32*SIN(A32)+F32*COS(A32)</f>
        <v>0.21638511808654481</v>
      </c>
      <c r="E32" s="17">
        <v>0.61809999999999998</v>
      </c>
      <c r="F32" s="17">
        <v>3.73E-2</v>
      </c>
    </row>
    <row r="33" spans="1:6" x14ac:dyDescent="0.25">
      <c r="A33">
        <f t="shared" si="1"/>
        <v>0.40142572795869574</v>
      </c>
      <c r="B33">
        <v>23</v>
      </c>
      <c r="C33" s="15">
        <f>E33*COS(A33)-F33*SIN(A33)</f>
        <v>0.57523293728301395</v>
      </c>
      <c r="D33" s="15">
        <f>E33*SIN(A33)+F33*COS(A33)</f>
        <v>0.33781615986325492</v>
      </c>
      <c r="E33" s="17">
        <v>0.66149999999999998</v>
      </c>
      <c r="F33" s="17">
        <v>8.6199999999999999E-2</v>
      </c>
    </row>
    <row r="34" spans="1:6" x14ac:dyDescent="0.25">
      <c r="A34">
        <f t="shared" si="1"/>
        <v>0.57595865315812877</v>
      </c>
      <c r="B34">
        <v>33</v>
      </c>
      <c r="C34" s="15">
        <f>E34*COS(A34)-F34*SIN(A34)</f>
        <v>0.88263917330401898</v>
      </c>
      <c r="D34" s="15">
        <f>E34*SIN(A34)+F34*COS(A34)</f>
        <v>0.69707912732285837</v>
      </c>
      <c r="E34" s="17">
        <v>1.1198999999999999</v>
      </c>
      <c r="F34" s="17">
        <v>0.10390000000000001</v>
      </c>
    </row>
    <row r="35" spans="1:6" x14ac:dyDescent="0.25">
      <c r="A35">
        <f t="shared" si="1"/>
        <v>0.78539816339744828</v>
      </c>
      <c r="B35">
        <v>45</v>
      </c>
      <c r="C35" s="15">
        <f>E35*COS(A35)-F35*SIN(A35)</f>
        <v>0.96201877580429784</v>
      </c>
      <c r="D35" s="15">
        <f>E35*SIN(A35)+F35*COS(A35)</f>
        <v>1.0827926140309603</v>
      </c>
      <c r="E35" s="17">
        <v>1.4459</v>
      </c>
      <c r="F35" s="17">
        <v>8.5400000000000004E-2</v>
      </c>
    </row>
    <row r="36" spans="1:6" x14ac:dyDescent="0.25">
      <c r="A36">
        <f t="shared" si="1"/>
        <v>0.95993108859688125</v>
      </c>
      <c r="B36">
        <v>55</v>
      </c>
      <c r="C36" s="15">
        <f>E36*COS(A36)-F36*SIN(A36)</f>
        <v>0.85790916166731368</v>
      </c>
      <c r="D36" s="15">
        <f>E36*SIN(A36)+F36*COS(A36)</f>
        <v>1.4210103343492215</v>
      </c>
      <c r="E36" s="17">
        <v>1.6560999999999999</v>
      </c>
      <c r="F36" s="17">
        <v>0.1123</v>
      </c>
    </row>
    <row r="37" spans="1:6" x14ac:dyDescent="0.25">
      <c r="A37">
        <f t="shared" si="1"/>
        <v>1.2217304763960306</v>
      </c>
      <c r="B37">
        <v>70</v>
      </c>
      <c r="C37" s="15">
        <f>E37*COS(A37)-F37*SIN(A37)</f>
        <v>0.56032396316826649</v>
      </c>
      <c r="D37" s="15">
        <f>E37*SIN(A37)+F37*COS(A37)</f>
        <v>1.6584762754707729</v>
      </c>
      <c r="E37" s="17">
        <v>1.7501</v>
      </c>
      <c r="F37" s="17">
        <v>4.07E-2</v>
      </c>
    </row>
    <row r="38" spans="1:6" x14ac:dyDescent="0.25">
      <c r="A38">
        <f t="shared" si="1"/>
        <v>1.3962634015954636</v>
      </c>
      <c r="B38">
        <v>80</v>
      </c>
      <c r="C38" s="15">
        <f>E38*COS(A38)-F38*SIN(A38)</f>
        <v>0.32731714364823328</v>
      </c>
      <c r="D38" s="15">
        <f>E38*SIN(A38)+F38*COS(A38)</f>
        <v>1.8010235693832441</v>
      </c>
      <c r="E38" s="17">
        <v>1.8305</v>
      </c>
      <c r="F38" s="17">
        <v>-9.5999999999999992E-3</v>
      </c>
    </row>
    <row r="39" spans="1:6" x14ac:dyDescent="0.25">
      <c r="A39">
        <f t="shared" si="1"/>
        <v>1.5707963267948966</v>
      </c>
      <c r="B39">
        <v>90</v>
      </c>
      <c r="C39" s="15">
        <f>E39*COS(A39)-F39*SIN(A39)</f>
        <v>7.4400000000000105E-2</v>
      </c>
      <c r="D39" s="15">
        <f>E39*SIN(A39)+F39*COS(A39)</f>
        <v>1.8376999999999999</v>
      </c>
      <c r="E39" s="17">
        <v>1.8376999999999999</v>
      </c>
      <c r="F39" s="17">
        <v>-7.4399999999999994E-2</v>
      </c>
    </row>
    <row r="40" spans="1:6" x14ac:dyDescent="0.25">
      <c r="A40">
        <f t="shared" si="1"/>
        <v>1.7453292519943295</v>
      </c>
      <c r="B40">
        <v>100</v>
      </c>
      <c r="C40" s="15">
        <f>E40*COS(A40)-F40*SIN(A40)</f>
        <v>-0.1834694208370104</v>
      </c>
      <c r="D40" s="15">
        <f>E40*SIN(A40)+F40*COS(A40)</f>
        <v>1.7580495930484248</v>
      </c>
      <c r="E40" s="17">
        <v>1.7632000000000001</v>
      </c>
      <c r="F40" s="17">
        <v>-0.1246</v>
      </c>
    </row>
    <row r="41" spans="1:6" x14ac:dyDescent="0.25">
      <c r="A41">
        <f t="shared" si="1"/>
        <v>1.9198621771937625</v>
      </c>
      <c r="B41">
        <v>110</v>
      </c>
      <c r="C41" s="15">
        <f>E41*COS(A41)-F41*SIN(A41)</f>
        <v>-0.4264395518315498</v>
      </c>
      <c r="D41" s="15">
        <f>E41*SIN(A41)+F41*COS(A41)</f>
        <v>1.6362255586054468</v>
      </c>
      <c r="E41" s="17">
        <v>1.6834</v>
      </c>
      <c r="F41" s="17">
        <v>-0.15890000000000001</v>
      </c>
    </row>
    <row r="42" spans="1:6" x14ac:dyDescent="0.25">
      <c r="A42">
        <f t="shared" si="1"/>
        <v>2.0943951023931953</v>
      </c>
      <c r="B42">
        <v>120</v>
      </c>
      <c r="C42" s="15">
        <f>E42*COS(A42)-F42*SIN(A42)</f>
        <v>-0.6297157541185131</v>
      </c>
      <c r="D42" s="15">
        <f>E42*SIN(A42)+F42*COS(A42)</f>
        <v>1.5036996804598157</v>
      </c>
      <c r="E42" s="17">
        <v>1.6171</v>
      </c>
      <c r="F42" s="17">
        <v>-0.20649999999999999</v>
      </c>
    </row>
    <row r="43" spans="1:6" x14ac:dyDescent="0.25">
      <c r="A43">
        <f t="shared" si="1"/>
        <v>2.2689280275926285</v>
      </c>
      <c r="B43">
        <v>130</v>
      </c>
      <c r="C43" s="15">
        <f>E43*COS(A43)-F43*SIN(A43)</f>
        <v>-0.81321765235032162</v>
      </c>
      <c r="D43" s="15">
        <f>E43*SIN(A43)+F43*COS(A43)</f>
        <v>1.260075414372422</v>
      </c>
      <c r="E43" s="17">
        <v>1.488</v>
      </c>
      <c r="F43" s="17">
        <v>-0.187</v>
      </c>
    </row>
    <row r="44" spans="1:6" x14ac:dyDescent="0.25">
      <c r="A44">
        <f t="shared" si="1"/>
        <v>2.4434609527920612</v>
      </c>
      <c r="B44">
        <v>140</v>
      </c>
      <c r="C44" s="15">
        <f>E44*COS(A44)-F44*SIN(A44)</f>
        <v>-0.89753340056456921</v>
      </c>
      <c r="D44" s="15">
        <f>E44*SIN(A44)+F44*COS(A44)</f>
        <v>0.94253454306513396</v>
      </c>
      <c r="E44" s="17">
        <v>1.2934000000000001</v>
      </c>
      <c r="F44" s="17">
        <v>-0.14510000000000001</v>
      </c>
    </row>
    <row r="45" spans="1:6" x14ac:dyDescent="0.25">
      <c r="A45">
        <f t="shared" si="1"/>
        <v>2.6179938779914944</v>
      </c>
      <c r="B45">
        <v>150</v>
      </c>
      <c r="C45" s="15">
        <f>E45*COS(A45)-F45*SIN(A45)</f>
        <v>-0.70415536063027273</v>
      </c>
      <c r="D45" s="15">
        <f>E45*SIN(A45)+F45*COS(A45)</f>
        <v>0.60376713896638212</v>
      </c>
      <c r="E45" s="17">
        <v>0.91169999999999995</v>
      </c>
      <c r="F45" s="17">
        <v>-0.17080000000000001</v>
      </c>
    </row>
    <row r="46" spans="1:6" x14ac:dyDescent="0.25">
      <c r="A46">
        <f t="shared" si="1"/>
        <v>2.7925268031909272</v>
      </c>
      <c r="B46">
        <v>160</v>
      </c>
      <c r="C46" s="15">
        <f>E46*COS(A46)-F46*SIN(A46)</f>
        <v>-0.58017903835555462</v>
      </c>
      <c r="D46" s="15">
        <f>E46*SIN(A46)+F46*COS(A46)</f>
        <v>0.31258404222356573</v>
      </c>
      <c r="E46" s="17">
        <v>0.65210000000000001</v>
      </c>
      <c r="F46" s="17">
        <v>-9.5299999999999996E-2</v>
      </c>
    </row>
    <row r="47" spans="1:6" x14ac:dyDescent="0.25">
      <c r="A47">
        <f t="shared" si="1"/>
        <v>2.9670597283903604</v>
      </c>
      <c r="B47">
        <v>170</v>
      </c>
      <c r="C47" s="15">
        <f>E47*COS(A47)-F47*SIN(A47)</f>
        <v>-0.81324114320779428</v>
      </c>
      <c r="D47" s="15">
        <f>E47*SIN(A47)+F47*COS(A47)</f>
        <v>0.1325312906225532</v>
      </c>
      <c r="E47" s="17">
        <v>0.82389999999999997</v>
      </c>
      <c r="F47" s="17">
        <v>1.0699999999999999E-2</v>
      </c>
    </row>
    <row r="48" spans="1:6" x14ac:dyDescent="0.25">
      <c r="A48">
        <f t="shared" si="1"/>
        <v>3.1415926535897931</v>
      </c>
      <c r="B48">
        <v>180</v>
      </c>
      <c r="C48" s="15">
        <f>E48*COS(A48)-F48*SIN(A48)</f>
        <v>0</v>
      </c>
      <c r="D48" s="15">
        <f>E48*SIN(A48)+F48*COS(A48)</f>
        <v>0</v>
      </c>
      <c r="E48" s="17">
        <v>0</v>
      </c>
      <c r="F48" s="17">
        <v>0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9:F48"/>
  <sheetViews>
    <sheetView workbookViewId="0">
      <selection activeCell="F82" sqref="F82"/>
    </sheetView>
  </sheetViews>
  <sheetFormatPr defaultRowHeight="15" x14ac:dyDescent="0.25"/>
  <cols>
    <col min="4" max="4" width="12" bestFit="1" customWidth="1"/>
    <col min="5" max="6" width="9.140625" style="17"/>
  </cols>
  <sheetData>
    <row r="9" spans="1:6" x14ac:dyDescent="0.25">
      <c r="C9" s="5" t="s">
        <v>32</v>
      </c>
      <c r="D9" s="5" t="s">
        <v>3</v>
      </c>
      <c r="E9" s="16" t="s">
        <v>31</v>
      </c>
      <c r="F9" s="16" t="s">
        <v>33</v>
      </c>
    </row>
    <row r="10" spans="1:6" x14ac:dyDescent="0.25">
      <c r="A10">
        <f t="shared" ref="A10:A29" si="0">B10*PI()/180</f>
        <v>-3.1415926535897931</v>
      </c>
      <c r="B10">
        <v>-180</v>
      </c>
      <c r="C10" s="15">
        <f>E10*COS(A10)-F10*SIN(A10)</f>
        <v>0</v>
      </c>
      <c r="D10" s="15">
        <f>E10*SIN(A10)+F10*COS(A10)</f>
        <v>0</v>
      </c>
      <c r="E10" s="17">
        <v>0</v>
      </c>
      <c r="F10" s="17">
        <v>0</v>
      </c>
    </row>
    <row r="11" spans="1:6" x14ac:dyDescent="0.25">
      <c r="A11">
        <f t="shared" si="0"/>
        <v>-2.9670597283903604</v>
      </c>
      <c r="B11">
        <v>-170</v>
      </c>
      <c r="C11" s="15">
        <f>E11*COS(A11)-F11*SIN(A11)</f>
        <v>0.78893039833442402</v>
      </c>
      <c r="D11" s="15">
        <f>E11*SIN(A11)+F11*COS(A11)</f>
        <v>0.27040437604426232</v>
      </c>
      <c r="E11" s="17">
        <v>-0.82389999999999997</v>
      </c>
      <c r="F11" s="17">
        <v>-0.1293</v>
      </c>
    </row>
    <row r="12" spans="1:6" x14ac:dyDescent="0.25">
      <c r="A12">
        <f t="shared" si="0"/>
        <v>-2.7925268031909272</v>
      </c>
      <c r="B12">
        <v>-160</v>
      </c>
      <c r="C12" s="15">
        <f>E12*COS(A12)-F12*SIN(A12)</f>
        <v>0.54053890374410962</v>
      </c>
      <c r="D12" s="15">
        <f>E12*SIN(A12)+F12*COS(A12)</f>
        <v>0.42149441697265255</v>
      </c>
      <c r="E12" s="17">
        <v>-0.65210000000000001</v>
      </c>
      <c r="F12" s="17">
        <v>-0.2112</v>
      </c>
    </row>
    <row r="13" spans="1:6" x14ac:dyDescent="0.25">
      <c r="A13">
        <f t="shared" si="0"/>
        <v>-2.6179938779914944</v>
      </c>
      <c r="B13">
        <v>-150</v>
      </c>
      <c r="C13" s="15">
        <f>E13*COS(A13)-F13*SIN(A13)</f>
        <v>0.80820536063027271</v>
      </c>
      <c r="D13" s="15">
        <f>E13*SIN(A13)+F13*COS(A13)</f>
        <v>0.42354725243884034</v>
      </c>
      <c r="E13" s="17">
        <v>-0.91169999999999995</v>
      </c>
      <c r="F13" s="17">
        <v>3.73E-2</v>
      </c>
    </row>
    <row r="14" spans="1:6" x14ac:dyDescent="0.25">
      <c r="A14">
        <f t="shared" si="0"/>
        <v>-2.4434609527920612</v>
      </c>
      <c r="B14">
        <v>-140</v>
      </c>
      <c r="C14" s="15">
        <f>E14*COS(A14)-F14*SIN(A14)</f>
        <v>1.0462101746850658</v>
      </c>
      <c r="D14" s="15">
        <f>E14*SIN(A14)+F14*COS(A14)</f>
        <v>0.76534846337171436</v>
      </c>
      <c r="E14" s="17">
        <v>-1.2934000000000001</v>
      </c>
      <c r="F14" s="17">
        <v>8.6199999999999999E-2</v>
      </c>
    </row>
    <row r="15" spans="1:6" x14ac:dyDescent="0.25">
      <c r="A15">
        <f t="shared" si="0"/>
        <v>-2.2689280275926285</v>
      </c>
      <c r="B15">
        <v>-130</v>
      </c>
      <c r="C15" s="15">
        <f>E15*COS(A15)-F15*SIN(A15)</f>
        <v>1.0360599808536324</v>
      </c>
      <c r="D15" s="15">
        <f>E15*SIN(A15)+F15*COS(A15)</f>
        <v>1.0730884987146077</v>
      </c>
      <c r="E15" s="17">
        <v>-1.488</v>
      </c>
      <c r="F15" s="17">
        <v>0.10390000000000001</v>
      </c>
    </row>
    <row r="16" spans="1:6" x14ac:dyDescent="0.25">
      <c r="A16">
        <f t="shared" si="0"/>
        <v>-2.0943951023931953</v>
      </c>
      <c r="B16">
        <v>-120</v>
      </c>
      <c r="C16" s="15">
        <f>E16*COS(A16)-F16*SIN(A16)</f>
        <v>0.88250856948319067</v>
      </c>
      <c r="D16" s="15">
        <f>E16*SIN(A16)+F16*COS(A16)</f>
        <v>1.3577496804598159</v>
      </c>
      <c r="E16" s="17">
        <v>-1.6171</v>
      </c>
      <c r="F16" s="17">
        <v>8.5400000000000004E-2</v>
      </c>
    </row>
    <row r="17" spans="1:6" x14ac:dyDescent="0.25">
      <c r="A17">
        <f t="shared" si="0"/>
        <v>-1.9198621771937625</v>
      </c>
      <c r="B17">
        <v>-110</v>
      </c>
      <c r="C17" s="15">
        <f>E17*COS(A17)-F17*SIN(A17)</f>
        <v>0.68128419058868817</v>
      </c>
      <c r="D17" s="15">
        <f>E17*SIN(A17)+F17*COS(A17)</f>
        <v>1.5434696957355256</v>
      </c>
      <c r="E17" s="17">
        <v>-1.6834</v>
      </c>
      <c r="F17" s="17">
        <v>0.1123</v>
      </c>
    </row>
    <row r="18" spans="1:6" x14ac:dyDescent="0.25">
      <c r="A18">
        <f t="shared" si="0"/>
        <v>-1.7453292519943295</v>
      </c>
      <c r="B18">
        <v>-100</v>
      </c>
      <c r="C18" s="15">
        <f>E18*COS(A18)-F18*SIN(A18)</f>
        <v>0.34625814240992836</v>
      </c>
      <c r="D18" s="15">
        <f>E18*SIN(A18)+F18*COS(A18)</f>
        <v>1.7293455492800813</v>
      </c>
      <c r="E18" s="17">
        <v>-1.7632000000000001</v>
      </c>
      <c r="F18" s="17">
        <v>4.07E-2</v>
      </c>
    </row>
    <row r="19" spans="1:6" x14ac:dyDescent="0.25">
      <c r="A19">
        <f t="shared" si="0"/>
        <v>-1.5707963267948966</v>
      </c>
      <c r="B19">
        <v>-90</v>
      </c>
      <c r="C19" s="15">
        <f>E19*COS(A19)-F19*SIN(A19)</f>
        <v>-9.6000000000001119E-3</v>
      </c>
      <c r="D19" s="15">
        <f>E19*SIN(A19)+F19*COS(A19)</f>
        <v>1.8376999999999999</v>
      </c>
      <c r="E19" s="17">
        <v>-1.8376999999999999</v>
      </c>
      <c r="F19" s="17">
        <v>-9.5999999999999992E-3</v>
      </c>
    </row>
    <row r="20" spans="1:6" x14ac:dyDescent="0.25">
      <c r="A20">
        <f t="shared" si="0"/>
        <v>-1.3962634015954636</v>
      </c>
      <c r="B20">
        <v>-80</v>
      </c>
      <c r="C20" s="15">
        <f>E20*COS(A20)-F20*SIN(A20)</f>
        <v>-0.39113268604342438</v>
      </c>
      <c r="D20" s="15">
        <f>E20*SIN(A20)+F20*COS(A20)</f>
        <v>1.7897711674704271</v>
      </c>
      <c r="E20" s="17">
        <v>-1.8305</v>
      </c>
      <c r="F20" s="17">
        <v>-7.4399999999999994E-2</v>
      </c>
    </row>
    <row r="21" spans="1:6" x14ac:dyDescent="0.25">
      <c r="A21">
        <f t="shared" si="0"/>
        <v>-1.2217304763960306</v>
      </c>
      <c r="B21">
        <v>-70</v>
      </c>
      <c r="C21" s="15">
        <f>E21*COS(A21)-F21*SIN(A21)</f>
        <v>-0.71565515338417718</v>
      </c>
      <c r="D21" s="15">
        <f>E21*SIN(A21)+F21*COS(A21)</f>
        <v>1.6019403457790398</v>
      </c>
      <c r="E21" s="17">
        <v>-1.7501</v>
      </c>
      <c r="F21" s="17">
        <v>-0.1246</v>
      </c>
    </row>
    <row r="22" spans="1:6" x14ac:dyDescent="0.25">
      <c r="A22">
        <f t="shared" si="0"/>
        <v>-0.95993108859688125</v>
      </c>
      <c r="B22">
        <v>-55</v>
      </c>
      <c r="C22" s="15">
        <f>E22*COS(A22)-F22*SIN(A22)</f>
        <v>-1.0800631960784883</v>
      </c>
      <c r="D22" s="15">
        <f>E22*SIN(A22)+F22*COS(A22)</f>
        <v>1.2654564048108179</v>
      </c>
      <c r="E22" s="17">
        <v>-1.6560999999999999</v>
      </c>
      <c r="F22" s="17">
        <v>-0.15890000000000001</v>
      </c>
    </row>
    <row r="23" spans="1:6" x14ac:dyDescent="0.25">
      <c r="A23">
        <f t="shared" si="0"/>
        <v>-0.78539816339744828</v>
      </c>
      <c r="B23">
        <v>-45</v>
      </c>
      <c r="C23" s="15">
        <f>E23*COS(A23)-F23*SIN(A23)</f>
        <v>-1.1684232452326511</v>
      </c>
      <c r="D23" s="15">
        <f>E23*SIN(A23)+F23*COS(A23)</f>
        <v>0.87638814460260694</v>
      </c>
      <c r="E23" s="17">
        <v>-1.4459</v>
      </c>
      <c r="F23" s="17">
        <v>-0.20649999999999999</v>
      </c>
    </row>
    <row r="24" spans="1:6" x14ac:dyDescent="0.25">
      <c r="A24">
        <f t="shared" si="0"/>
        <v>-0.57595865315812877</v>
      </c>
      <c r="B24">
        <v>-33</v>
      </c>
      <c r="C24" s="15">
        <f>E24*COS(A24)-F24*SIN(A24)</f>
        <v>-1.0410746685898904</v>
      </c>
      <c r="D24" s="15">
        <f>E24*SIN(A24)+F24*COS(A24)</f>
        <v>0.45310985910753443</v>
      </c>
      <c r="E24" s="17">
        <v>-1.1198999999999999</v>
      </c>
      <c r="F24" s="17">
        <v>-0.187</v>
      </c>
    </row>
    <row r="25" spans="1:6" x14ac:dyDescent="0.25">
      <c r="A25">
        <f t="shared" si="0"/>
        <v>-0.40142572795869574</v>
      </c>
      <c r="B25">
        <v>-23</v>
      </c>
      <c r="C25" s="15">
        <f>E25*COS(A25)-F25*SIN(A25)</f>
        <v>-0.66560904730258297</v>
      </c>
      <c r="D25" s="15">
        <f>E25*SIN(A25)+F25*COS(A25)</f>
        <v>0.12490338725970546</v>
      </c>
      <c r="E25" s="17">
        <v>-0.66149999999999998</v>
      </c>
      <c r="F25" s="17">
        <v>-0.14510000000000001</v>
      </c>
    </row>
    <row r="26" spans="1:6" x14ac:dyDescent="0.25">
      <c r="A26">
        <f t="shared" si="0"/>
        <v>-0.29670597283903605</v>
      </c>
      <c r="B26">
        <v>-17</v>
      </c>
      <c r="C26" s="15">
        <f>E26*COS(A26)-F26*SIN(A26)</f>
        <v>-0.64102905682739564</v>
      </c>
      <c r="D26" s="15">
        <f>E26*SIN(A26)+F26*COS(A26)</f>
        <v>1.7378098370637141E-2</v>
      </c>
      <c r="E26" s="17">
        <v>-0.61809999999999998</v>
      </c>
      <c r="F26" s="17">
        <v>-0.17080000000000001</v>
      </c>
    </row>
    <row r="27" spans="1:6" x14ac:dyDescent="0.25">
      <c r="A27">
        <f t="shared" si="0"/>
        <v>-0.26179938779914941</v>
      </c>
      <c r="B27">
        <v>-15</v>
      </c>
      <c r="C27" s="15">
        <f>E27*COS(A27)-F27*SIN(A27)</f>
        <v>-1.0014096505417762</v>
      </c>
      <c r="D27" s="15">
        <f>E27*SIN(A27)+F27*COS(A27)</f>
        <v>0.16966508716232079</v>
      </c>
      <c r="E27" s="17">
        <v>-1.0112000000000001</v>
      </c>
      <c r="F27" s="17">
        <v>-9.5299999999999996E-2</v>
      </c>
    </row>
    <row r="28" spans="1:6" x14ac:dyDescent="0.25">
      <c r="A28">
        <f t="shared" si="0"/>
        <v>-0.17453292519943295</v>
      </c>
      <c r="B28">
        <v>-10</v>
      </c>
      <c r="C28" s="15">
        <f>E28*COS(A28)-F28*SIN(A28)</f>
        <v>-0.83847842014428087</v>
      </c>
      <c r="D28" s="15">
        <f>E28*SIN(A28)+F28*COS(A28)</f>
        <v>0.15871143296042228</v>
      </c>
      <c r="E28" s="17">
        <v>-0.85329999999999995</v>
      </c>
      <c r="F28" s="17">
        <v>1.0699999999999999E-2</v>
      </c>
    </row>
    <row r="29" spans="1:6" x14ac:dyDescent="0.25">
      <c r="A29">
        <f t="shared" si="0"/>
        <v>0</v>
      </c>
      <c r="B29">
        <v>0</v>
      </c>
      <c r="C29" s="15">
        <f>E29*COS(A29)-F29*SIN(A29)</f>
        <v>0.1</v>
      </c>
      <c r="D29" s="15">
        <f>E29*SIN(A29)+F29*COS(A29)</f>
        <v>0</v>
      </c>
      <c r="E29" s="17">
        <v>0.1</v>
      </c>
      <c r="F29" s="17">
        <v>0</v>
      </c>
    </row>
    <row r="30" spans="1:6" x14ac:dyDescent="0.25">
      <c r="A30">
        <f>B30*PI()/180</f>
        <v>0.10471975511965977</v>
      </c>
      <c r="B30">
        <v>6</v>
      </c>
      <c r="C30" s="15">
        <f>E30*COS(A30)-F30*SIN(A30)</f>
        <v>0.36159819367940327</v>
      </c>
      <c r="D30" s="15">
        <f>E30*SIN(A30)+F30*COS(A30)</f>
        <v>-9.200671892743903E-2</v>
      </c>
      <c r="E30" s="17">
        <v>0.35</v>
      </c>
      <c r="F30" s="17">
        <v>-0.1293</v>
      </c>
    </row>
    <row r="31" spans="1:6" x14ac:dyDescent="0.25">
      <c r="A31">
        <f t="shared" ref="A31:A48" si="1">B31*PI()/180</f>
        <v>0.17453292519943295</v>
      </c>
      <c r="B31">
        <v>10</v>
      </c>
      <c r="C31" s="15">
        <f>E31*COS(A31)-F31*SIN(A31)</f>
        <v>0.57831875927997012</v>
      </c>
      <c r="D31" s="15">
        <f>E31*SIN(A31)+F31*COS(A31)</f>
        <v>-0.11248489971936665</v>
      </c>
      <c r="E31" s="17">
        <v>0.55000000000000004</v>
      </c>
      <c r="F31" s="17">
        <v>-0.2112</v>
      </c>
    </row>
    <row r="32" spans="1:6" x14ac:dyDescent="0.25">
      <c r="A32">
        <f t="shared" si="1"/>
        <v>0.33161255787892258</v>
      </c>
      <c r="B32">
        <v>19</v>
      </c>
      <c r="C32" s="15">
        <f>E32*COS(A32)-F32*SIN(A32)</f>
        <v>0.98065081221803074</v>
      </c>
      <c r="D32" s="15">
        <f>E32*SIN(A32)+F32*COS(A32)</f>
        <v>0.37711440504986898</v>
      </c>
      <c r="E32" s="17">
        <v>1.05</v>
      </c>
      <c r="F32" s="17">
        <v>3.73E-2</v>
      </c>
    </row>
    <row r="33" spans="1:6" x14ac:dyDescent="0.25">
      <c r="A33">
        <f t="shared" si="1"/>
        <v>0.41887902047863906</v>
      </c>
      <c r="B33">
        <v>24</v>
      </c>
      <c r="C33" s="15">
        <f>E33*COS(A33)-F33*SIN(A33)</f>
        <v>1.1342774871493952</v>
      </c>
      <c r="D33" s="15">
        <f>E33*SIN(A33)+F33*COS(A33)</f>
        <v>0.59937052158581638</v>
      </c>
      <c r="E33" s="17">
        <v>1.28</v>
      </c>
      <c r="F33" s="17">
        <v>8.6199999999999999E-2</v>
      </c>
    </row>
    <row r="34" spans="1:6" x14ac:dyDescent="0.25">
      <c r="A34">
        <f t="shared" si="1"/>
        <v>0.52359877559829882</v>
      </c>
      <c r="B34">
        <v>30</v>
      </c>
      <c r="C34" s="15">
        <f>E34*COS(A34)-F34*SIN(A34)</f>
        <v>1.29038937586588</v>
      </c>
      <c r="D34" s="15">
        <f>E34*SIN(A34)+F34*COS(A34)</f>
        <v>0.86498003945320312</v>
      </c>
      <c r="E34" s="17">
        <v>1.55</v>
      </c>
      <c r="F34" s="17">
        <v>0.10390000000000001</v>
      </c>
    </row>
    <row r="35" spans="1:6" x14ac:dyDescent="0.25">
      <c r="A35">
        <f t="shared" si="1"/>
        <v>0.6108652381980153</v>
      </c>
      <c r="B35">
        <v>35</v>
      </c>
      <c r="C35" s="15">
        <f>E35*COS(A35)-F35*SIN(A35)</f>
        <v>1.3026174454124571</v>
      </c>
      <c r="D35" s="15">
        <f>E35*SIN(A35)+F35*COS(A35)</f>
        <v>1.0163567045615058</v>
      </c>
      <c r="E35" s="17">
        <v>1.65</v>
      </c>
      <c r="F35" s="17">
        <v>8.5400000000000004E-2</v>
      </c>
    </row>
    <row r="36" spans="1:6" x14ac:dyDescent="0.25">
      <c r="A36">
        <f t="shared" si="1"/>
        <v>0.69813170079773179</v>
      </c>
      <c r="B36">
        <v>40</v>
      </c>
      <c r="C36" s="15">
        <f>E36*COS(A36)-F36*SIN(A36)</f>
        <v>1.3832993933582598</v>
      </c>
      <c r="D36" s="15">
        <f>E36*SIN(A36)+F36*COS(A36)</f>
        <v>1.3073232493666858</v>
      </c>
      <c r="E36" s="17">
        <v>1.9</v>
      </c>
      <c r="F36" s="17">
        <v>0.1123</v>
      </c>
    </row>
    <row r="37" spans="1:6" x14ac:dyDescent="0.25">
      <c r="A37">
        <f t="shared" si="1"/>
        <v>0.78539816339744828</v>
      </c>
      <c r="B37">
        <v>45</v>
      </c>
      <c r="C37" s="15">
        <f>E37*COS(A37)-F37*SIN(A37)</f>
        <v>1.031880925785529</v>
      </c>
      <c r="D37" s="15">
        <f>E37*SIN(A37)+F37*COS(A37)</f>
        <v>1.0894394177741136</v>
      </c>
      <c r="E37" s="17">
        <v>1.5</v>
      </c>
      <c r="F37" s="17">
        <v>4.07E-2</v>
      </c>
    </row>
    <row r="38" spans="1:6" x14ac:dyDescent="0.25">
      <c r="A38">
        <f t="shared" si="1"/>
        <v>0.95993108859688125</v>
      </c>
      <c r="B38">
        <v>55</v>
      </c>
      <c r="C38" s="15">
        <f>E38*COS(A38)-F38*SIN(A38)</f>
        <v>0.69615558324642968</v>
      </c>
      <c r="D38" s="15">
        <f>E38*SIN(A38)+F38*COS(A38)</f>
        <v>0.97747611935782008</v>
      </c>
      <c r="E38" s="17">
        <v>1.2</v>
      </c>
      <c r="F38" s="17">
        <v>-9.5999999999999992E-3</v>
      </c>
    </row>
    <row r="39" spans="1:6" x14ac:dyDescent="0.25">
      <c r="A39">
        <f t="shared" si="1"/>
        <v>1.5707963267948966</v>
      </c>
      <c r="B39">
        <v>90</v>
      </c>
      <c r="C39" s="15">
        <f>E39*COS(A39)-F39*SIN(A39)</f>
        <v>7.4400000000000063E-2</v>
      </c>
      <c r="D39" s="15">
        <f>E39*SIN(A39)+F39*COS(A39)</f>
        <v>1.2</v>
      </c>
      <c r="E39" s="17">
        <v>1.2</v>
      </c>
      <c r="F39" s="17">
        <v>-7.4399999999999994E-2</v>
      </c>
    </row>
    <row r="40" spans="1:6" x14ac:dyDescent="0.25">
      <c r="A40">
        <f t="shared" si="1"/>
        <v>1.7453292519943295</v>
      </c>
      <c r="B40">
        <v>100</v>
      </c>
      <c r="C40" s="15">
        <f>E40*COS(A40)-F40*SIN(A40)</f>
        <v>-0.1834694208370104</v>
      </c>
      <c r="D40" s="15">
        <f>E40*SIN(A40)+F40*COS(A40)</f>
        <v>1.7580495930484248</v>
      </c>
      <c r="E40" s="17">
        <v>1.7632000000000001</v>
      </c>
      <c r="F40" s="17">
        <v>-0.1246</v>
      </c>
    </row>
    <row r="41" spans="1:6" x14ac:dyDescent="0.25">
      <c r="A41">
        <f t="shared" si="1"/>
        <v>1.9198621771937625</v>
      </c>
      <c r="B41">
        <v>110</v>
      </c>
      <c r="C41" s="15">
        <f>E41*COS(A41)-F41*SIN(A41)</f>
        <v>-0.4264395518315498</v>
      </c>
      <c r="D41" s="15">
        <f>E41*SIN(A41)+F41*COS(A41)</f>
        <v>1.6362255586054468</v>
      </c>
      <c r="E41" s="17">
        <v>1.6834</v>
      </c>
      <c r="F41" s="17">
        <v>-0.15890000000000001</v>
      </c>
    </row>
    <row r="42" spans="1:6" x14ac:dyDescent="0.25">
      <c r="A42">
        <f t="shared" si="1"/>
        <v>2.0943951023931953</v>
      </c>
      <c r="B42">
        <v>120</v>
      </c>
      <c r="C42" s="15">
        <f>E42*COS(A42)-F42*SIN(A42)</f>
        <v>-0.6297157541185131</v>
      </c>
      <c r="D42" s="15">
        <f>E42*SIN(A42)+F42*COS(A42)</f>
        <v>1.5036996804598157</v>
      </c>
      <c r="E42" s="17">
        <v>1.6171</v>
      </c>
      <c r="F42" s="17">
        <v>-0.20649999999999999</v>
      </c>
    </row>
    <row r="43" spans="1:6" x14ac:dyDescent="0.25">
      <c r="A43">
        <f t="shared" si="1"/>
        <v>2.2689280275926285</v>
      </c>
      <c r="B43">
        <v>130</v>
      </c>
      <c r="C43" s="15">
        <f>E43*COS(A43)-F43*SIN(A43)</f>
        <v>-0.81321765235032162</v>
      </c>
      <c r="D43" s="15">
        <f>E43*SIN(A43)+F43*COS(A43)</f>
        <v>1.260075414372422</v>
      </c>
      <c r="E43" s="17">
        <v>1.488</v>
      </c>
      <c r="F43" s="17">
        <v>-0.187</v>
      </c>
    </row>
    <row r="44" spans="1:6" x14ac:dyDescent="0.25">
      <c r="A44">
        <f t="shared" si="1"/>
        <v>2.4434609527920612</v>
      </c>
      <c r="B44">
        <v>140</v>
      </c>
      <c r="C44" s="15">
        <f>E44*COS(A44)-F44*SIN(A44)</f>
        <v>-0.89753340056456921</v>
      </c>
      <c r="D44" s="15">
        <f>E44*SIN(A44)+F44*COS(A44)</f>
        <v>0.94253454306513396</v>
      </c>
      <c r="E44" s="17">
        <v>1.2934000000000001</v>
      </c>
      <c r="F44" s="17">
        <v>-0.14510000000000001</v>
      </c>
    </row>
    <row r="45" spans="1:6" x14ac:dyDescent="0.25">
      <c r="A45">
        <f t="shared" si="1"/>
        <v>2.6179938779914944</v>
      </c>
      <c r="B45">
        <v>150</v>
      </c>
      <c r="C45" s="15">
        <f>E45*COS(A45)-F45*SIN(A45)</f>
        <v>-0.70415536063027273</v>
      </c>
      <c r="D45" s="15">
        <f>E45*SIN(A45)+F45*COS(A45)</f>
        <v>0.60376713896638212</v>
      </c>
      <c r="E45" s="17">
        <v>0.91169999999999995</v>
      </c>
      <c r="F45" s="17">
        <v>-0.17080000000000001</v>
      </c>
    </row>
    <row r="46" spans="1:6" x14ac:dyDescent="0.25">
      <c r="A46">
        <f t="shared" si="1"/>
        <v>2.7925268031909272</v>
      </c>
      <c r="B46">
        <v>160</v>
      </c>
      <c r="C46" s="15">
        <f>E46*COS(A46)-F46*SIN(A46)</f>
        <v>-0.58017903835555462</v>
      </c>
      <c r="D46" s="15">
        <f>E46*SIN(A46)+F46*COS(A46)</f>
        <v>0.31258404222356573</v>
      </c>
      <c r="E46" s="17">
        <v>0.65210000000000001</v>
      </c>
      <c r="F46" s="17">
        <v>-9.5299999999999996E-2</v>
      </c>
    </row>
    <row r="47" spans="1:6" x14ac:dyDescent="0.25">
      <c r="A47">
        <f t="shared" si="1"/>
        <v>2.9670597283903604</v>
      </c>
      <c r="B47">
        <v>170</v>
      </c>
      <c r="C47" s="15">
        <f>E47*COS(A47)-F47*SIN(A47)</f>
        <v>-0.81324114320779428</v>
      </c>
      <c r="D47" s="15">
        <f>E47*SIN(A47)+F47*COS(A47)</f>
        <v>0.1325312906225532</v>
      </c>
      <c r="E47" s="17">
        <v>0.82389999999999997</v>
      </c>
      <c r="F47" s="17">
        <v>1.0699999999999999E-2</v>
      </c>
    </row>
    <row r="48" spans="1:6" x14ac:dyDescent="0.25">
      <c r="A48">
        <f t="shared" si="1"/>
        <v>3.1415926535897931</v>
      </c>
      <c r="B48">
        <v>180</v>
      </c>
      <c r="C48" s="15">
        <f>E48*COS(A48)-F48*SIN(A48)</f>
        <v>0</v>
      </c>
      <c r="D48" s="15">
        <f>E48*SIN(A48)+F48*COS(A48)</f>
        <v>0</v>
      </c>
      <c r="E48" s="17">
        <v>0</v>
      </c>
      <c r="F48" s="17">
        <v>0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8:H82"/>
  <sheetViews>
    <sheetView workbookViewId="0">
      <selection activeCell="S47" sqref="S47"/>
    </sheetView>
  </sheetViews>
  <sheetFormatPr defaultRowHeight="15" x14ac:dyDescent="0.25"/>
  <cols>
    <col min="4" max="4" width="12" bestFit="1" customWidth="1"/>
    <col min="5" max="5" width="9.140625" style="17"/>
    <col min="6" max="6" width="12.7109375" style="17" bestFit="1" customWidth="1"/>
    <col min="7" max="7" width="12" bestFit="1" customWidth="1"/>
  </cols>
  <sheetData>
    <row r="8" spans="1:8" x14ac:dyDescent="0.25">
      <c r="C8">
        <v>1.4</v>
      </c>
      <c r="D8">
        <v>1.8</v>
      </c>
    </row>
    <row r="9" spans="1:8" x14ac:dyDescent="0.25">
      <c r="A9" s="5" t="s">
        <v>41</v>
      </c>
      <c r="B9" s="5" t="s">
        <v>42</v>
      </c>
      <c r="C9" s="5" t="s">
        <v>32</v>
      </c>
      <c r="D9" s="5" t="s">
        <v>3</v>
      </c>
      <c r="E9" s="16" t="s">
        <v>31</v>
      </c>
      <c r="F9" s="16" t="s">
        <v>33</v>
      </c>
    </row>
    <row r="10" spans="1:8" x14ac:dyDescent="0.25">
      <c r="A10">
        <f t="shared" ref="A10:A63" si="0">B10*PI()/180</f>
        <v>-3.1415926535897931</v>
      </c>
      <c r="B10">
        <v>-180</v>
      </c>
      <c r="C10" s="15">
        <f t="shared" ref="C10:C63" si="1">1.4*SIN(2*A10)</f>
        <v>3.430415673744136E-16</v>
      </c>
      <c r="D10" s="15">
        <f t="shared" ref="D10:D73" si="2">-$D$8*COS(A10*2)/2+$D$8/2</f>
        <v>0</v>
      </c>
      <c r="E10" s="18">
        <f t="shared" ref="E10:E63" si="3">C10*COS(A10)+D10*SIN(A10)</f>
        <v>-3.430415673744136E-16</v>
      </c>
      <c r="F10" s="19">
        <f t="shared" ref="F10:F63" si="4">-C10*SIN(A10)+D10*COS(A10)</f>
        <v>4.202768462381941E-32</v>
      </c>
      <c r="H10">
        <v>46</v>
      </c>
    </row>
    <row r="11" spans="1:8" x14ac:dyDescent="0.25">
      <c r="A11">
        <f t="shared" si="0"/>
        <v>-3.0543261909900763</v>
      </c>
      <c r="B11">
        <v>-175</v>
      </c>
      <c r="C11" s="15">
        <f t="shared" si="1"/>
        <v>0.24310744873370377</v>
      </c>
      <c r="D11" s="15">
        <f t="shared" si="2"/>
        <v>1.3673022289012904E-2</v>
      </c>
      <c r="E11" s="18">
        <f t="shared" si="3"/>
        <v>-0.24337403390833076</v>
      </c>
      <c r="F11" s="19">
        <f t="shared" si="4"/>
        <v>7.5672179506693776E-3</v>
      </c>
    </row>
    <row r="12" spans="1:8" x14ac:dyDescent="0.25">
      <c r="A12">
        <f t="shared" si="0"/>
        <v>-2.9670597283903604</v>
      </c>
      <c r="B12">
        <v>-170</v>
      </c>
      <c r="C12" s="15">
        <f t="shared" si="1"/>
        <v>0.47882820065593601</v>
      </c>
      <c r="D12" s="15">
        <f t="shared" si="2"/>
        <v>5.4276641292682393E-2</v>
      </c>
      <c r="E12" s="18">
        <f t="shared" si="3"/>
        <v>-0.48097876421720698</v>
      </c>
      <c r="F12" s="19">
        <f t="shared" si="4"/>
        <v>2.9695587306942349E-2</v>
      </c>
    </row>
    <row r="13" spans="1:8" x14ac:dyDescent="0.25">
      <c r="A13">
        <f t="shared" si="0"/>
        <v>-2.8797932657906435</v>
      </c>
      <c r="B13">
        <v>-165</v>
      </c>
      <c r="C13" s="15">
        <f t="shared" si="1"/>
        <v>0.70000000000000062</v>
      </c>
      <c r="D13" s="15">
        <f t="shared" si="2"/>
        <v>0.12057713659400549</v>
      </c>
      <c r="E13" s="18">
        <f t="shared" si="3"/>
        <v>-0.70735573775680516</v>
      </c>
      <c r="F13" s="19">
        <f t="shared" si="4"/>
        <v>6.4704761275630282E-2</v>
      </c>
    </row>
    <row r="14" spans="1:8" x14ac:dyDescent="0.25">
      <c r="A14">
        <f t="shared" si="0"/>
        <v>-2.7925268031909272</v>
      </c>
      <c r="B14">
        <v>-160</v>
      </c>
      <c r="C14" s="15">
        <f t="shared" si="1"/>
        <v>0.8999026535611554</v>
      </c>
      <c r="D14" s="15">
        <f t="shared" si="2"/>
        <v>0.21056000119291995</v>
      </c>
      <c r="E14" s="18">
        <f t="shared" si="3"/>
        <v>-0.91764764476373095</v>
      </c>
      <c r="F14" s="19">
        <f t="shared" si="4"/>
        <v>0.10992315519647719</v>
      </c>
    </row>
    <row r="15" spans="1:8" x14ac:dyDescent="0.25">
      <c r="A15">
        <f t="shared" si="0"/>
        <v>-2.7052603405912108</v>
      </c>
      <c r="B15">
        <v>-155</v>
      </c>
      <c r="C15" s="15">
        <f t="shared" si="1"/>
        <v>1.0724622203665692</v>
      </c>
      <c r="D15" s="15">
        <f t="shared" si="2"/>
        <v>0.3214911512821147</v>
      </c>
      <c r="E15" s="18">
        <f t="shared" si="3"/>
        <v>-1.1078488931407009</v>
      </c>
      <c r="F15" s="19">
        <f t="shared" si="4"/>
        <v>0.16187218548353233</v>
      </c>
    </row>
    <row r="16" spans="1:8" x14ac:dyDescent="0.25">
      <c r="A16">
        <f t="shared" si="0"/>
        <v>-2.6179938779914944</v>
      </c>
      <c r="B16">
        <v>-150</v>
      </c>
      <c r="C16" s="15">
        <f t="shared" si="1"/>
        <v>1.2124355652982139</v>
      </c>
      <c r="D16" s="15">
        <f t="shared" si="2"/>
        <v>0.4499999999999999</v>
      </c>
      <c r="E16" s="18">
        <f t="shared" si="3"/>
        <v>-1.2749999999999999</v>
      </c>
      <c r="F16" s="19">
        <f t="shared" si="4"/>
        <v>0.21650635094610954</v>
      </c>
    </row>
    <row r="17" spans="1:6" x14ac:dyDescent="0.25">
      <c r="A17">
        <f t="shared" si="0"/>
        <v>-2.5307274153917776</v>
      </c>
      <c r="B17">
        <v>-145</v>
      </c>
      <c r="C17" s="15">
        <f t="shared" si="1"/>
        <v>1.3155696691002718</v>
      </c>
      <c r="D17" s="15">
        <f t="shared" si="2"/>
        <v>0.59218187100689867</v>
      </c>
      <c r="E17" s="18">
        <f t="shared" si="3"/>
        <v>-1.4173131510919117</v>
      </c>
      <c r="F17" s="19">
        <f t="shared" si="4"/>
        <v>0.26949277234787827</v>
      </c>
    </row>
    <row r="18" spans="1:6" x14ac:dyDescent="0.25">
      <c r="A18">
        <f t="shared" si="0"/>
        <v>-2.4434609527920612</v>
      </c>
      <c r="B18">
        <v>-140</v>
      </c>
      <c r="C18" s="15">
        <f t="shared" si="1"/>
        <v>1.3787308542170913</v>
      </c>
      <c r="D18" s="15">
        <f t="shared" si="2"/>
        <v>0.74371664009976302</v>
      </c>
      <c r="E18" s="18">
        <f t="shared" si="3"/>
        <v>-1.5342209508035154</v>
      </c>
      <c r="F18" s="19">
        <f t="shared" si="4"/>
        <v>0.31651111077974459</v>
      </c>
    </row>
    <row r="19" spans="1:6" x14ac:dyDescent="0.25">
      <c r="A19">
        <f t="shared" si="0"/>
        <v>-2.3561944901923448</v>
      </c>
      <c r="B19">
        <v>-135</v>
      </c>
      <c r="C19" s="15">
        <f t="shared" si="1"/>
        <v>1.4</v>
      </c>
      <c r="D19" s="15">
        <f t="shared" si="2"/>
        <v>0.90000000000000013</v>
      </c>
      <c r="E19" s="18">
        <f t="shared" si="3"/>
        <v>-1.6263455967290592</v>
      </c>
      <c r="F19" s="19">
        <f t="shared" si="4"/>
        <v>0.35355339059327373</v>
      </c>
    </row>
    <row r="20" spans="1:6" x14ac:dyDescent="0.25">
      <c r="A20">
        <f t="shared" si="0"/>
        <v>-2.2689280275926285</v>
      </c>
      <c r="B20">
        <v>-130</v>
      </c>
      <c r="C20" s="15">
        <f t="shared" si="1"/>
        <v>1.3787308542170911</v>
      </c>
      <c r="D20" s="15">
        <f t="shared" si="2"/>
        <v>1.0562833599002373</v>
      </c>
      <c r="E20" s="18">
        <f t="shared" si="3"/>
        <v>-1.6953911083939048</v>
      </c>
      <c r="F20" s="19">
        <f t="shared" si="4"/>
        <v>0.3772032533677443</v>
      </c>
    </row>
    <row r="21" spans="1:6" x14ac:dyDescent="0.25">
      <c r="A21">
        <f t="shared" si="0"/>
        <v>-2.1816615649929116</v>
      </c>
      <c r="B21">
        <v>-125</v>
      </c>
      <c r="C21" s="15">
        <f t="shared" si="1"/>
        <v>1.3155696691002714</v>
      </c>
      <c r="D21" s="15">
        <f t="shared" si="2"/>
        <v>1.2078181289931025</v>
      </c>
      <c r="E21" s="18">
        <f t="shared" si="3"/>
        <v>-1.7439664520680636</v>
      </c>
      <c r="F21" s="19">
        <f t="shared" si="4"/>
        <v>0.38487556566002856</v>
      </c>
    </row>
    <row r="22" spans="1:6" x14ac:dyDescent="0.25">
      <c r="A22">
        <f t="shared" si="0"/>
        <v>-2.0943951023931953</v>
      </c>
      <c r="B22">
        <v>-120</v>
      </c>
      <c r="C22" s="15">
        <f t="shared" si="1"/>
        <v>1.2124355652982137</v>
      </c>
      <c r="D22" s="15">
        <f t="shared" si="2"/>
        <v>1.3500000000000005</v>
      </c>
      <c r="E22" s="18">
        <f t="shared" si="3"/>
        <v>-1.7753520777580993</v>
      </c>
      <c r="F22" s="19">
        <f t="shared" si="4"/>
        <v>0.37499999999999989</v>
      </c>
    </row>
    <row r="23" spans="1:6" x14ac:dyDescent="0.25">
      <c r="A23">
        <f t="shared" si="0"/>
        <v>-2.0071286397934789</v>
      </c>
      <c r="B23">
        <v>-115</v>
      </c>
      <c r="C23" s="15">
        <f t="shared" si="1"/>
        <v>1.072462220366569</v>
      </c>
      <c r="D23" s="15">
        <f t="shared" si="2"/>
        <v>1.4785088487178855</v>
      </c>
      <c r="E23" s="18">
        <f t="shared" si="3"/>
        <v>-1.7932262021495022</v>
      </c>
      <c r="F23" s="19">
        <f t="shared" si="4"/>
        <v>0.34713602200744198</v>
      </c>
    </row>
    <row r="24" spans="1:6" x14ac:dyDescent="0.25">
      <c r="A24">
        <f t="shared" si="0"/>
        <v>-1.9198621771937625</v>
      </c>
      <c r="B24">
        <v>-110</v>
      </c>
      <c r="C24" s="15">
        <f t="shared" si="1"/>
        <v>0.89990265356115484</v>
      </c>
      <c r="D24" s="15">
        <f t="shared" si="2"/>
        <v>1.5894399988070802</v>
      </c>
      <c r="E24" s="18">
        <f t="shared" si="3"/>
        <v>-1.801369872611112</v>
      </c>
      <c r="F24" s="19">
        <f t="shared" si="4"/>
        <v>0.3020113867775267</v>
      </c>
    </row>
    <row r="25" spans="1:6" x14ac:dyDescent="0.25">
      <c r="A25">
        <f t="shared" si="0"/>
        <v>-1.8325957145940461</v>
      </c>
      <c r="B25">
        <v>-105</v>
      </c>
      <c r="C25" s="15">
        <f t="shared" si="1"/>
        <v>0.70000000000000007</v>
      </c>
      <c r="D25" s="15">
        <f t="shared" si="2"/>
        <v>1.6794228634059949</v>
      </c>
      <c r="E25" s="18">
        <f t="shared" si="3"/>
        <v>-1.8033712485959532</v>
      </c>
      <c r="F25" s="19">
        <f t="shared" si="4"/>
        <v>0.24148145657226699</v>
      </c>
    </row>
    <row r="26" spans="1:6" x14ac:dyDescent="0.25">
      <c r="A26">
        <f t="shared" si="0"/>
        <v>-1.7453292519943295</v>
      </c>
      <c r="B26">
        <v>-100</v>
      </c>
      <c r="C26" s="15">
        <f t="shared" si="1"/>
        <v>0.47882820065593606</v>
      </c>
      <c r="D26" s="15">
        <f t="shared" si="2"/>
        <v>1.7457233587073175</v>
      </c>
      <c r="E26" s="18">
        <f t="shared" si="3"/>
        <v>-1.8023495427289167</v>
      </c>
      <c r="F26" s="19">
        <f t="shared" si="4"/>
        <v>0.16841204441673246</v>
      </c>
    </row>
    <row r="27" spans="1:6" x14ac:dyDescent="0.25">
      <c r="A27">
        <f t="shared" si="0"/>
        <v>-1.6580627893946132</v>
      </c>
      <c r="B27">
        <v>-95</v>
      </c>
      <c r="C27" s="15">
        <f t="shared" si="1"/>
        <v>0.24310744873370263</v>
      </c>
      <c r="D27" s="15">
        <f t="shared" si="2"/>
        <v>1.7863269777109871</v>
      </c>
      <c r="E27" s="18">
        <f t="shared" si="3"/>
        <v>-1.8007176745158113</v>
      </c>
      <c r="F27" s="19">
        <f t="shared" si="4"/>
        <v>8.6493696962544775E-2</v>
      </c>
    </row>
    <row r="28" spans="1:6" x14ac:dyDescent="0.25">
      <c r="A28">
        <f t="shared" si="0"/>
        <v>-1.5707963267948966</v>
      </c>
      <c r="B28">
        <v>-90</v>
      </c>
      <c r="C28" s="15">
        <f t="shared" si="1"/>
        <v>-1.715207836872068E-16</v>
      </c>
      <c r="D28" s="15">
        <f t="shared" si="2"/>
        <v>1.8</v>
      </c>
      <c r="E28" s="18">
        <f t="shared" si="3"/>
        <v>-1.8</v>
      </c>
      <c r="F28" s="19">
        <f t="shared" si="4"/>
        <v>-6.1257422745431001E-17</v>
      </c>
    </row>
    <row r="29" spans="1:6" x14ac:dyDescent="0.25">
      <c r="A29">
        <f t="shared" si="0"/>
        <v>-1.4835298641951802</v>
      </c>
      <c r="B29">
        <v>-85</v>
      </c>
      <c r="C29" s="15">
        <f t="shared" si="1"/>
        <v>-0.24310744873370238</v>
      </c>
      <c r="D29" s="15">
        <f t="shared" si="2"/>
        <v>1.7863269777109871</v>
      </c>
      <c r="E29" s="18">
        <f t="shared" si="3"/>
        <v>-1.8007176745158113</v>
      </c>
      <c r="F29" s="19">
        <f t="shared" si="4"/>
        <v>-8.6493696962544692E-2</v>
      </c>
    </row>
    <row r="30" spans="1:6" x14ac:dyDescent="0.25">
      <c r="A30">
        <f t="shared" si="0"/>
        <v>-1.3962634015954636</v>
      </c>
      <c r="B30">
        <v>-80</v>
      </c>
      <c r="C30" s="15">
        <f t="shared" si="1"/>
        <v>-0.4788282006559364</v>
      </c>
      <c r="D30" s="15">
        <f t="shared" si="2"/>
        <v>1.7457233587073175</v>
      </c>
      <c r="E30" s="18">
        <f t="shared" si="3"/>
        <v>-1.8023495427289167</v>
      </c>
      <c r="F30" s="19">
        <f t="shared" si="4"/>
        <v>-0.16841204441673263</v>
      </c>
    </row>
    <row r="31" spans="1:6" x14ac:dyDescent="0.25">
      <c r="A31">
        <f t="shared" si="0"/>
        <v>-1.3089969389957472</v>
      </c>
      <c r="B31">
        <v>-75</v>
      </c>
      <c r="C31" s="15">
        <f t="shared" si="1"/>
        <v>-0.69999999999999984</v>
      </c>
      <c r="D31" s="15">
        <f t="shared" si="2"/>
        <v>1.6794228634059949</v>
      </c>
      <c r="E31" s="18">
        <f t="shared" si="3"/>
        <v>-1.8033712485959532</v>
      </c>
      <c r="F31" s="19">
        <f t="shared" si="4"/>
        <v>-0.24148145657226699</v>
      </c>
    </row>
    <row r="32" spans="1:6" x14ac:dyDescent="0.25">
      <c r="A32">
        <f t="shared" si="0"/>
        <v>-1.2217304763960306</v>
      </c>
      <c r="B32">
        <v>-70</v>
      </c>
      <c r="C32" s="15">
        <f t="shared" si="1"/>
        <v>-0.89990265356115517</v>
      </c>
      <c r="D32" s="15">
        <f t="shared" si="2"/>
        <v>1.5894399988070802</v>
      </c>
      <c r="E32" s="18">
        <f t="shared" si="3"/>
        <v>-1.801369872611112</v>
      </c>
      <c r="F32" s="19">
        <f t="shared" si="4"/>
        <v>-0.30201138677752681</v>
      </c>
    </row>
    <row r="33" spans="1:6" x14ac:dyDescent="0.25">
      <c r="A33">
        <f t="shared" si="0"/>
        <v>-1.1344640137963142</v>
      </c>
      <c r="B33">
        <v>-65</v>
      </c>
      <c r="C33" s="15">
        <f t="shared" si="1"/>
        <v>-1.0724622203665692</v>
      </c>
      <c r="D33" s="15">
        <f t="shared" si="2"/>
        <v>1.4785088487178855</v>
      </c>
      <c r="E33" s="18">
        <f t="shared" si="3"/>
        <v>-1.7932262021495022</v>
      </c>
      <c r="F33" s="19">
        <f t="shared" si="4"/>
        <v>-0.34713602200744187</v>
      </c>
    </row>
    <row r="34" spans="1:6" x14ac:dyDescent="0.25">
      <c r="A34">
        <f t="shared" si="0"/>
        <v>-1.0471975511965976</v>
      </c>
      <c r="B34">
        <v>-60</v>
      </c>
      <c r="C34" s="15">
        <f t="shared" si="1"/>
        <v>-1.2124355652982142</v>
      </c>
      <c r="D34" s="15">
        <f t="shared" si="2"/>
        <v>1.3499999999999999</v>
      </c>
      <c r="E34" s="18">
        <f t="shared" si="3"/>
        <v>-1.7753520777580993</v>
      </c>
      <c r="F34" s="19">
        <f t="shared" si="4"/>
        <v>-0.375</v>
      </c>
    </row>
    <row r="35" spans="1:6" x14ac:dyDescent="0.25">
      <c r="A35">
        <f t="shared" si="0"/>
        <v>-0.95993108859688125</v>
      </c>
      <c r="B35">
        <v>-55</v>
      </c>
      <c r="C35" s="15">
        <f t="shared" si="1"/>
        <v>-1.3155696691002716</v>
      </c>
      <c r="D35" s="15">
        <f t="shared" si="2"/>
        <v>1.2078181289931018</v>
      </c>
      <c r="E35" s="18">
        <f t="shared" si="3"/>
        <v>-1.7439664520680633</v>
      </c>
      <c r="F35" s="19">
        <f t="shared" si="4"/>
        <v>-0.38487556566002845</v>
      </c>
    </row>
    <row r="36" spans="1:6" x14ac:dyDescent="0.25">
      <c r="A36">
        <f t="shared" si="0"/>
        <v>-0.87266462599716477</v>
      </c>
      <c r="B36">
        <v>-50</v>
      </c>
      <c r="C36" s="15">
        <f t="shared" si="1"/>
        <v>-1.3787308542170911</v>
      </c>
      <c r="D36" s="15">
        <f t="shared" si="2"/>
        <v>1.0562833599002373</v>
      </c>
      <c r="E36" s="18">
        <f t="shared" si="3"/>
        <v>-1.6953911083939048</v>
      </c>
      <c r="F36" s="19">
        <f t="shared" si="4"/>
        <v>-0.3772032533677443</v>
      </c>
    </row>
    <row r="37" spans="1:6" x14ac:dyDescent="0.25">
      <c r="A37">
        <f t="shared" si="0"/>
        <v>-0.78539816339744828</v>
      </c>
      <c r="B37">
        <v>-45</v>
      </c>
      <c r="C37" s="15">
        <f t="shared" si="1"/>
        <v>-1.4</v>
      </c>
      <c r="D37" s="15">
        <f t="shared" si="2"/>
        <v>0.9</v>
      </c>
      <c r="E37" s="18">
        <f t="shared" si="3"/>
        <v>-1.6263455967290592</v>
      </c>
      <c r="F37" s="19">
        <f t="shared" si="4"/>
        <v>-0.35355339059327351</v>
      </c>
    </row>
    <row r="38" spans="1:6" x14ac:dyDescent="0.25">
      <c r="A38">
        <f t="shared" si="0"/>
        <v>-0.69813170079773179</v>
      </c>
      <c r="B38">
        <v>-40</v>
      </c>
      <c r="C38" s="15">
        <f t="shared" si="1"/>
        <v>-1.3787308542170911</v>
      </c>
      <c r="D38" s="15">
        <f t="shared" si="2"/>
        <v>0.74371664009976268</v>
      </c>
      <c r="E38" s="18">
        <f t="shared" si="3"/>
        <v>-1.5342209508035149</v>
      </c>
      <c r="F38" s="19">
        <f t="shared" si="4"/>
        <v>-0.31651111077974425</v>
      </c>
    </row>
    <row r="39" spans="1:6" x14ac:dyDescent="0.25">
      <c r="A39">
        <f t="shared" si="0"/>
        <v>-0.6108652381980153</v>
      </c>
      <c r="B39">
        <v>-35</v>
      </c>
      <c r="C39" s="15">
        <f t="shared" si="1"/>
        <v>-1.3155696691002716</v>
      </c>
      <c r="D39" s="15">
        <f t="shared" si="2"/>
        <v>0.59218187100689801</v>
      </c>
      <c r="E39" s="18">
        <f t="shared" si="3"/>
        <v>-1.4173131510919115</v>
      </c>
      <c r="F39" s="19">
        <f t="shared" si="4"/>
        <v>-0.26949277234787811</v>
      </c>
    </row>
    <row r="40" spans="1:6" x14ac:dyDescent="0.25">
      <c r="A40">
        <f t="shared" si="0"/>
        <v>-0.52359877559829882</v>
      </c>
      <c r="B40">
        <v>-30</v>
      </c>
      <c r="C40" s="15">
        <f t="shared" si="1"/>
        <v>-1.2124355652982139</v>
      </c>
      <c r="D40" s="15">
        <f t="shared" si="2"/>
        <v>0.4499999999999999</v>
      </c>
      <c r="E40" s="18">
        <f t="shared" si="3"/>
        <v>-1.2749999999999999</v>
      </c>
      <c r="F40" s="19">
        <f t="shared" si="4"/>
        <v>-0.21650635094610954</v>
      </c>
    </row>
    <row r="41" spans="1:6" x14ac:dyDescent="0.25">
      <c r="A41">
        <f t="shared" si="0"/>
        <v>-0.43633231299858238</v>
      </c>
      <c r="B41">
        <v>-25</v>
      </c>
      <c r="C41" s="15">
        <f t="shared" si="1"/>
        <v>-1.0724622203665692</v>
      </c>
      <c r="D41" s="15">
        <f t="shared" si="2"/>
        <v>0.32149115128211458</v>
      </c>
      <c r="E41" s="18">
        <f t="shared" si="3"/>
        <v>-1.1078488931407009</v>
      </c>
      <c r="F41" s="19">
        <f t="shared" si="4"/>
        <v>-0.16187218548353233</v>
      </c>
    </row>
    <row r="42" spans="1:6" x14ac:dyDescent="0.25">
      <c r="A42">
        <f t="shared" si="0"/>
        <v>-0.3490658503988659</v>
      </c>
      <c r="B42">
        <v>-20</v>
      </c>
      <c r="C42" s="15">
        <f t="shared" si="1"/>
        <v>-0.89990265356115484</v>
      </c>
      <c r="D42" s="15">
        <f t="shared" si="2"/>
        <v>0.21056000119291984</v>
      </c>
      <c r="E42" s="18">
        <f t="shared" si="3"/>
        <v>-0.91764764476373051</v>
      </c>
      <c r="F42" s="19">
        <f t="shared" si="4"/>
        <v>-0.10992315519647691</v>
      </c>
    </row>
    <row r="43" spans="1:6" x14ac:dyDescent="0.25">
      <c r="A43">
        <f t="shared" si="0"/>
        <v>-0.26179938779914941</v>
      </c>
      <c r="B43">
        <v>-15</v>
      </c>
      <c r="C43" s="15">
        <f t="shared" si="1"/>
        <v>-0.69999999999999984</v>
      </c>
      <c r="D43" s="15">
        <f t="shared" si="2"/>
        <v>0.12057713659400515</v>
      </c>
      <c r="E43" s="18">
        <f t="shared" si="3"/>
        <v>-0.70735573775680427</v>
      </c>
      <c r="F43" s="19">
        <f t="shared" si="4"/>
        <v>-6.4704761275630213E-2</v>
      </c>
    </row>
    <row r="44" spans="1:6" x14ac:dyDescent="0.25">
      <c r="A44">
        <f t="shared" si="0"/>
        <v>-0.17453292519943295</v>
      </c>
      <c r="B44">
        <v>-10</v>
      </c>
      <c r="C44" s="15">
        <f t="shared" si="1"/>
        <v>-0.47882820065593618</v>
      </c>
      <c r="D44" s="15">
        <f t="shared" si="2"/>
        <v>5.4276641292682393E-2</v>
      </c>
      <c r="E44" s="18">
        <f t="shared" si="3"/>
        <v>-0.48097876421720714</v>
      </c>
      <c r="F44" s="19">
        <f t="shared" si="4"/>
        <v>-2.9695587306942405E-2</v>
      </c>
    </row>
    <row r="45" spans="1:6" x14ac:dyDescent="0.25">
      <c r="A45">
        <f t="shared" si="0"/>
        <v>-8.7266462599716474E-2</v>
      </c>
      <c r="B45">
        <v>-5</v>
      </c>
      <c r="C45" s="15">
        <f t="shared" si="1"/>
        <v>-0.24310744873370244</v>
      </c>
      <c r="D45" s="15">
        <f t="shared" si="2"/>
        <v>1.3673022289012793E-2</v>
      </c>
      <c r="E45" s="18">
        <f t="shared" si="3"/>
        <v>-0.2433740339083294</v>
      </c>
      <c r="F45" s="19">
        <f t="shared" si="4"/>
        <v>-7.5672179506692597E-3</v>
      </c>
    </row>
    <row r="46" spans="1:6" x14ac:dyDescent="0.25">
      <c r="A46">
        <f t="shared" si="0"/>
        <v>0</v>
      </c>
      <c r="B46">
        <v>0</v>
      </c>
      <c r="C46" s="15">
        <f t="shared" si="1"/>
        <v>0</v>
      </c>
      <c r="D46" s="15">
        <f t="shared" si="2"/>
        <v>0</v>
      </c>
      <c r="E46" s="18">
        <f t="shared" si="3"/>
        <v>0</v>
      </c>
      <c r="F46" s="19">
        <f t="shared" si="4"/>
        <v>0</v>
      </c>
    </row>
    <row r="47" spans="1:6" x14ac:dyDescent="0.25">
      <c r="A47">
        <f t="shared" si="0"/>
        <v>8.7266462599716474E-2</v>
      </c>
      <c r="B47">
        <v>5</v>
      </c>
      <c r="C47" s="15">
        <f t="shared" si="1"/>
        <v>0.24310744873370244</v>
      </c>
      <c r="D47" s="15">
        <f t="shared" si="2"/>
        <v>1.3673022289012793E-2</v>
      </c>
      <c r="E47" s="18">
        <f t="shared" si="3"/>
        <v>0.2433740339083294</v>
      </c>
      <c r="F47" s="19">
        <f t="shared" si="4"/>
        <v>-7.5672179506692597E-3</v>
      </c>
    </row>
    <row r="48" spans="1:6" x14ac:dyDescent="0.25">
      <c r="A48">
        <f t="shared" si="0"/>
        <v>0.17453292519943295</v>
      </c>
      <c r="B48">
        <v>10</v>
      </c>
      <c r="C48" s="15">
        <f t="shared" si="1"/>
        <v>0.47882820065593618</v>
      </c>
      <c r="D48" s="15">
        <f t="shared" si="2"/>
        <v>5.4276641292682393E-2</v>
      </c>
      <c r="E48" s="18">
        <f t="shared" si="3"/>
        <v>0.48097876421720714</v>
      </c>
      <c r="F48" s="19">
        <f t="shared" si="4"/>
        <v>-2.9695587306942405E-2</v>
      </c>
    </row>
    <row r="49" spans="1:6" x14ac:dyDescent="0.25">
      <c r="A49">
        <f t="shared" si="0"/>
        <v>0.26179938779914941</v>
      </c>
      <c r="B49">
        <v>15</v>
      </c>
      <c r="C49" s="15">
        <f t="shared" si="1"/>
        <v>0.69999999999999984</v>
      </c>
      <c r="D49" s="15">
        <f t="shared" si="2"/>
        <v>0.12057713659400515</v>
      </c>
      <c r="E49" s="18">
        <f t="shared" si="3"/>
        <v>0.70735573775680427</v>
      </c>
      <c r="F49" s="19">
        <f t="shared" si="4"/>
        <v>-6.4704761275630213E-2</v>
      </c>
    </row>
    <row r="50" spans="1:6" x14ac:dyDescent="0.25">
      <c r="A50">
        <f t="shared" si="0"/>
        <v>0.3490658503988659</v>
      </c>
      <c r="B50">
        <v>20</v>
      </c>
      <c r="C50" s="15">
        <f t="shared" si="1"/>
        <v>0.89990265356115484</v>
      </c>
      <c r="D50" s="15">
        <f t="shared" si="2"/>
        <v>0.21056000119291984</v>
      </c>
      <c r="E50" s="18">
        <f t="shared" si="3"/>
        <v>0.91764764476373051</v>
      </c>
      <c r="F50" s="19">
        <f t="shared" si="4"/>
        <v>-0.10992315519647691</v>
      </c>
    </row>
    <row r="51" spans="1:6" x14ac:dyDescent="0.25">
      <c r="A51">
        <f t="shared" si="0"/>
        <v>0.43633231299858238</v>
      </c>
      <c r="B51">
        <v>25</v>
      </c>
      <c r="C51" s="15">
        <f t="shared" si="1"/>
        <v>1.0724622203665692</v>
      </c>
      <c r="D51" s="15">
        <f t="shared" si="2"/>
        <v>0.32149115128211458</v>
      </c>
      <c r="E51" s="18">
        <f t="shared" si="3"/>
        <v>1.1078488931407009</v>
      </c>
      <c r="F51" s="19">
        <f t="shared" si="4"/>
        <v>-0.16187218548353233</v>
      </c>
    </row>
    <row r="52" spans="1:6" x14ac:dyDescent="0.25">
      <c r="A52">
        <f t="shared" si="0"/>
        <v>0.52359877559829882</v>
      </c>
      <c r="B52">
        <v>30</v>
      </c>
      <c r="C52" s="15">
        <f t="shared" si="1"/>
        <v>1.2124355652982139</v>
      </c>
      <c r="D52" s="15">
        <f t="shared" si="2"/>
        <v>0.4499999999999999</v>
      </c>
      <c r="E52" s="18">
        <f t="shared" si="3"/>
        <v>1.2749999999999999</v>
      </c>
      <c r="F52" s="19">
        <f t="shared" si="4"/>
        <v>-0.21650635094610954</v>
      </c>
    </row>
    <row r="53" spans="1:6" x14ac:dyDescent="0.25">
      <c r="A53">
        <f t="shared" si="0"/>
        <v>0.6108652381980153</v>
      </c>
      <c r="B53">
        <v>35</v>
      </c>
      <c r="C53" s="15">
        <f t="shared" si="1"/>
        <v>1.3155696691002716</v>
      </c>
      <c r="D53" s="15">
        <f t="shared" si="2"/>
        <v>0.59218187100689801</v>
      </c>
      <c r="E53" s="18">
        <f t="shared" si="3"/>
        <v>1.4173131510919115</v>
      </c>
      <c r="F53" s="19">
        <f t="shared" si="4"/>
        <v>-0.26949277234787811</v>
      </c>
    </row>
    <row r="54" spans="1:6" x14ac:dyDescent="0.25">
      <c r="A54">
        <f t="shared" si="0"/>
        <v>0.69813170079773179</v>
      </c>
      <c r="B54">
        <v>40</v>
      </c>
      <c r="C54" s="15">
        <f t="shared" si="1"/>
        <v>1.3787308542170911</v>
      </c>
      <c r="D54" s="15">
        <f t="shared" si="2"/>
        <v>0.74371664009976268</v>
      </c>
      <c r="E54" s="18">
        <f t="shared" si="3"/>
        <v>1.5342209508035149</v>
      </c>
      <c r="F54" s="19">
        <f t="shared" si="4"/>
        <v>-0.31651111077974425</v>
      </c>
    </row>
    <row r="55" spans="1:6" x14ac:dyDescent="0.25">
      <c r="A55">
        <f t="shared" si="0"/>
        <v>0.78539816339744828</v>
      </c>
      <c r="B55">
        <v>45</v>
      </c>
      <c r="C55" s="15">
        <f t="shared" si="1"/>
        <v>1.4</v>
      </c>
      <c r="D55" s="15">
        <f t="shared" si="2"/>
        <v>0.9</v>
      </c>
      <c r="E55" s="18">
        <f t="shared" si="3"/>
        <v>1.6263455967290592</v>
      </c>
      <c r="F55" s="19">
        <f t="shared" si="4"/>
        <v>-0.35355339059327351</v>
      </c>
    </row>
    <row r="56" spans="1:6" x14ac:dyDescent="0.25">
      <c r="A56">
        <f t="shared" si="0"/>
        <v>0.87266462599716477</v>
      </c>
      <c r="B56">
        <v>50</v>
      </c>
      <c r="C56" s="15">
        <f t="shared" si="1"/>
        <v>1.3787308542170911</v>
      </c>
      <c r="D56" s="15">
        <f t="shared" si="2"/>
        <v>1.0562833599002373</v>
      </c>
      <c r="E56" s="18">
        <f t="shared" si="3"/>
        <v>1.6953911083939048</v>
      </c>
      <c r="F56" s="19">
        <f t="shared" si="4"/>
        <v>-0.3772032533677443</v>
      </c>
    </row>
    <row r="57" spans="1:6" x14ac:dyDescent="0.25">
      <c r="A57">
        <f t="shared" si="0"/>
        <v>0.95993108859688125</v>
      </c>
      <c r="B57">
        <v>55</v>
      </c>
      <c r="C57" s="15">
        <f t="shared" si="1"/>
        <v>1.3155696691002716</v>
      </c>
      <c r="D57" s="15">
        <f t="shared" si="2"/>
        <v>1.2078181289931018</v>
      </c>
      <c r="E57" s="18">
        <f t="shared" si="3"/>
        <v>1.7439664520680633</v>
      </c>
      <c r="F57" s="19">
        <f t="shared" si="4"/>
        <v>-0.38487556566002845</v>
      </c>
    </row>
    <row r="58" spans="1:6" x14ac:dyDescent="0.25">
      <c r="A58">
        <f t="shared" si="0"/>
        <v>1.0471975511965976</v>
      </c>
      <c r="B58">
        <v>60</v>
      </c>
      <c r="C58" s="15">
        <f t="shared" si="1"/>
        <v>1.2124355652982142</v>
      </c>
      <c r="D58" s="15">
        <f t="shared" si="2"/>
        <v>1.3499999999999999</v>
      </c>
      <c r="E58" s="18">
        <f t="shared" si="3"/>
        <v>1.7753520777580993</v>
      </c>
      <c r="F58" s="19">
        <f t="shared" si="4"/>
        <v>-0.375</v>
      </c>
    </row>
    <row r="59" spans="1:6" x14ac:dyDescent="0.25">
      <c r="A59">
        <f t="shared" si="0"/>
        <v>1.1344640137963142</v>
      </c>
      <c r="B59">
        <v>65</v>
      </c>
      <c r="C59" s="15">
        <f t="shared" si="1"/>
        <v>1.0724622203665692</v>
      </c>
      <c r="D59" s="15">
        <f t="shared" si="2"/>
        <v>1.4785088487178855</v>
      </c>
      <c r="E59" s="18">
        <f t="shared" si="3"/>
        <v>1.7932262021495022</v>
      </c>
      <c r="F59" s="19">
        <f t="shared" si="4"/>
        <v>-0.34713602200744187</v>
      </c>
    </row>
    <row r="60" spans="1:6" x14ac:dyDescent="0.25">
      <c r="A60">
        <f t="shared" si="0"/>
        <v>1.2217304763960306</v>
      </c>
      <c r="B60">
        <v>70</v>
      </c>
      <c r="C60" s="15">
        <f t="shared" si="1"/>
        <v>0.89990265356115517</v>
      </c>
      <c r="D60" s="15">
        <f t="shared" si="2"/>
        <v>1.5894399988070802</v>
      </c>
      <c r="E60" s="18">
        <f t="shared" si="3"/>
        <v>1.801369872611112</v>
      </c>
      <c r="F60" s="19">
        <f t="shared" si="4"/>
        <v>-0.30201138677752681</v>
      </c>
    </row>
    <row r="61" spans="1:6" x14ac:dyDescent="0.25">
      <c r="A61">
        <f t="shared" si="0"/>
        <v>1.3089969389957472</v>
      </c>
      <c r="B61">
        <v>75</v>
      </c>
      <c r="C61" s="15">
        <f t="shared" si="1"/>
        <v>0.69999999999999984</v>
      </c>
      <c r="D61" s="15">
        <f t="shared" si="2"/>
        <v>1.6794228634059949</v>
      </c>
      <c r="E61" s="18">
        <f t="shared" si="3"/>
        <v>1.8033712485959532</v>
      </c>
      <c r="F61" s="19">
        <f t="shared" si="4"/>
        <v>-0.24148145657226699</v>
      </c>
    </row>
    <row r="62" spans="1:6" x14ac:dyDescent="0.25">
      <c r="A62">
        <f t="shared" si="0"/>
        <v>1.3962634015954636</v>
      </c>
      <c r="B62">
        <v>80</v>
      </c>
      <c r="C62" s="15">
        <f t="shared" si="1"/>
        <v>0.4788282006559364</v>
      </c>
      <c r="D62" s="15">
        <f t="shared" si="2"/>
        <v>1.7457233587073175</v>
      </c>
      <c r="E62" s="18">
        <f t="shared" si="3"/>
        <v>1.8023495427289167</v>
      </c>
      <c r="F62" s="19">
        <f t="shared" si="4"/>
        <v>-0.16841204441673263</v>
      </c>
    </row>
    <row r="63" spans="1:6" x14ac:dyDescent="0.25">
      <c r="A63">
        <f t="shared" si="0"/>
        <v>1.4835298641951802</v>
      </c>
      <c r="B63">
        <v>85</v>
      </c>
      <c r="C63" s="15">
        <f t="shared" si="1"/>
        <v>0.24310744873370238</v>
      </c>
      <c r="D63" s="15">
        <f t="shared" si="2"/>
        <v>1.7863269777109871</v>
      </c>
      <c r="E63" s="18">
        <f t="shared" si="3"/>
        <v>1.8007176745158113</v>
      </c>
      <c r="F63" s="19">
        <f t="shared" si="4"/>
        <v>-8.6493696962544692E-2</v>
      </c>
    </row>
    <row r="64" spans="1:6" x14ac:dyDescent="0.25">
      <c r="A64">
        <f t="shared" ref="A48:A82" si="5">B64*PI()/180</f>
        <v>1.5707963267948966</v>
      </c>
      <c r="B64">
        <v>90</v>
      </c>
      <c r="C64" s="15">
        <f t="shared" ref="C56:C82" si="6">1.4*SIN(2*A64)</f>
        <v>1.715207836872068E-16</v>
      </c>
      <c r="D64" s="15">
        <f>-$D$8*COS(A64*2)/2+$D$8/2</f>
        <v>1.8</v>
      </c>
      <c r="E64" s="18">
        <f>C64*COS(A64)+D64*SIN(A64)</f>
        <v>1.8</v>
      </c>
      <c r="F64" s="19">
        <f>-C64*SIN(A64)+D64*COS(A64)</f>
        <v>-6.1257422745431001E-17</v>
      </c>
    </row>
    <row r="65" spans="1:6" x14ac:dyDescent="0.25">
      <c r="A65">
        <f t="shared" si="5"/>
        <v>1.6580627893946132</v>
      </c>
      <c r="B65">
        <v>95</v>
      </c>
      <c r="C65" s="15">
        <f t="shared" si="6"/>
        <v>-0.24310744873370263</v>
      </c>
      <c r="D65" s="15">
        <f t="shared" si="2"/>
        <v>1.7863269777109871</v>
      </c>
      <c r="E65" s="18">
        <f t="shared" ref="E65:E82" si="7">C65*COS(A65)+D65*SIN(A65)</f>
        <v>1.8007176745158113</v>
      </c>
      <c r="F65" s="19">
        <f t="shared" ref="F65:F82" si="8">-C65*SIN(A65)+D65*COS(A65)</f>
        <v>8.6493696962544775E-2</v>
      </c>
    </row>
    <row r="66" spans="1:6" x14ac:dyDescent="0.25">
      <c r="A66">
        <f t="shared" si="5"/>
        <v>1.7453292519943295</v>
      </c>
      <c r="B66">
        <v>100</v>
      </c>
      <c r="C66" s="15">
        <f t="shared" si="6"/>
        <v>-0.47882820065593606</v>
      </c>
      <c r="D66" s="15">
        <f t="shared" si="2"/>
        <v>1.7457233587073175</v>
      </c>
      <c r="E66" s="18">
        <f t="shared" si="7"/>
        <v>1.8023495427289167</v>
      </c>
      <c r="F66" s="19">
        <f t="shared" si="8"/>
        <v>0.16841204441673246</v>
      </c>
    </row>
    <row r="67" spans="1:6" x14ac:dyDescent="0.25">
      <c r="A67">
        <f t="shared" si="5"/>
        <v>1.8325957145940461</v>
      </c>
      <c r="B67">
        <v>105</v>
      </c>
      <c r="C67" s="15">
        <f t="shared" si="6"/>
        <v>-0.70000000000000007</v>
      </c>
      <c r="D67" s="15">
        <f t="shared" si="2"/>
        <v>1.6794228634059949</v>
      </c>
      <c r="E67" s="18">
        <f t="shared" si="7"/>
        <v>1.8033712485959532</v>
      </c>
      <c r="F67" s="19">
        <f t="shared" si="8"/>
        <v>0.24148145657226699</v>
      </c>
    </row>
    <row r="68" spans="1:6" x14ac:dyDescent="0.25">
      <c r="A68">
        <f t="shared" si="5"/>
        <v>1.9198621771937625</v>
      </c>
      <c r="B68">
        <v>110</v>
      </c>
      <c r="C68" s="15">
        <f t="shared" si="6"/>
        <v>-0.89990265356115484</v>
      </c>
      <c r="D68" s="15">
        <f t="shared" si="2"/>
        <v>1.5894399988070802</v>
      </c>
      <c r="E68" s="18">
        <f t="shared" si="7"/>
        <v>1.801369872611112</v>
      </c>
      <c r="F68" s="19">
        <f t="shared" si="8"/>
        <v>0.3020113867775267</v>
      </c>
    </row>
    <row r="69" spans="1:6" x14ac:dyDescent="0.25">
      <c r="A69">
        <f t="shared" si="5"/>
        <v>2.0071286397934789</v>
      </c>
      <c r="B69">
        <v>115</v>
      </c>
      <c r="C69" s="15">
        <f t="shared" si="6"/>
        <v>-1.072462220366569</v>
      </c>
      <c r="D69" s="15">
        <f t="shared" si="2"/>
        <v>1.4785088487178855</v>
      </c>
      <c r="E69" s="18">
        <f t="shared" si="7"/>
        <v>1.7932262021495022</v>
      </c>
      <c r="F69" s="19">
        <f t="shared" si="8"/>
        <v>0.34713602200744198</v>
      </c>
    </row>
    <row r="70" spans="1:6" x14ac:dyDescent="0.25">
      <c r="A70">
        <f t="shared" si="5"/>
        <v>2.0943951023931953</v>
      </c>
      <c r="B70">
        <v>120</v>
      </c>
      <c r="C70" s="15">
        <f t="shared" si="6"/>
        <v>-1.2124355652982137</v>
      </c>
      <c r="D70" s="15">
        <f t="shared" si="2"/>
        <v>1.3500000000000005</v>
      </c>
      <c r="E70" s="18">
        <f t="shared" si="7"/>
        <v>1.7753520777580993</v>
      </c>
      <c r="F70" s="19">
        <f t="shared" si="8"/>
        <v>0.37499999999999989</v>
      </c>
    </row>
    <row r="71" spans="1:6" x14ac:dyDescent="0.25">
      <c r="A71">
        <f t="shared" si="5"/>
        <v>2.1816615649929116</v>
      </c>
      <c r="B71">
        <v>125</v>
      </c>
      <c r="C71" s="15">
        <f t="shared" si="6"/>
        <v>-1.3155696691002714</v>
      </c>
      <c r="D71" s="15">
        <f t="shared" si="2"/>
        <v>1.2078181289931025</v>
      </c>
      <c r="E71" s="18">
        <f t="shared" si="7"/>
        <v>1.7439664520680636</v>
      </c>
      <c r="F71" s="19">
        <f t="shared" si="8"/>
        <v>0.38487556566002856</v>
      </c>
    </row>
    <row r="72" spans="1:6" x14ac:dyDescent="0.25">
      <c r="A72">
        <f t="shared" si="5"/>
        <v>2.2689280275926285</v>
      </c>
      <c r="B72">
        <v>130</v>
      </c>
      <c r="C72" s="15">
        <f t="shared" si="6"/>
        <v>-1.3787308542170911</v>
      </c>
      <c r="D72" s="15">
        <f t="shared" si="2"/>
        <v>1.0562833599002373</v>
      </c>
      <c r="E72" s="18">
        <f t="shared" si="7"/>
        <v>1.6953911083939048</v>
      </c>
      <c r="F72" s="19">
        <f t="shared" si="8"/>
        <v>0.3772032533677443</v>
      </c>
    </row>
    <row r="73" spans="1:6" x14ac:dyDescent="0.25">
      <c r="A73">
        <f t="shared" si="5"/>
        <v>2.3561944901923448</v>
      </c>
      <c r="B73">
        <v>135</v>
      </c>
      <c r="C73" s="15">
        <f t="shared" si="6"/>
        <v>-1.4</v>
      </c>
      <c r="D73" s="15">
        <f t="shared" si="2"/>
        <v>0.90000000000000013</v>
      </c>
      <c r="E73" s="18">
        <f t="shared" si="7"/>
        <v>1.6263455967290592</v>
      </c>
      <c r="F73" s="19">
        <f t="shared" si="8"/>
        <v>0.35355339059327373</v>
      </c>
    </row>
    <row r="74" spans="1:6" x14ac:dyDescent="0.25">
      <c r="A74">
        <f t="shared" si="5"/>
        <v>2.4434609527920612</v>
      </c>
      <c r="B74">
        <v>140</v>
      </c>
      <c r="C74" s="15">
        <f t="shared" si="6"/>
        <v>-1.3787308542170913</v>
      </c>
      <c r="D74" s="15">
        <f t="shared" ref="D74:D82" si="9">-$D$8*COS(A74*2)/2+$D$8/2</f>
        <v>0.74371664009976302</v>
      </c>
      <c r="E74" s="18">
        <f t="shared" si="7"/>
        <v>1.5342209508035154</v>
      </c>
      <c r="F74" s="19">
        <f t="shared" si="8"/>
        <v>0.31651111077974459</v>
      </c>
    </row>
    <row r="75" spans="1:6" x14ac:dyDescent="0.25">
      <c r="A75">
        <f t="shared" si="5"/>
        <v>2.5307274153917776</v>
      </c>
      <c r="B75">
        <v>145</v>
      </c>
      <c r="C75" s="15">
        <f t="shared" si="6"/>
        <v>-1.3155696691002718</v>
      </c>
      <c r="D75" s="15">
        <f t="shared" si="9"/>
        <v>0.59218187100689867</v>
      </c>
      <c r="E75" s="18">
        <f t="shared" si="7"/>
        <v>1.4173131510919117</v>
      </c>
      <c r="F75" s="19">
        <f t="shared" si="8"/>
        <v>0.26949277234787827</v>
      </c>
    </row>
    <row r="76" spans="1:6" x14ac:dyDescent="0.25">
      <c r="A76">
        <f t="shared" si="5"/>
        <v>2.6179938779914944</v>
      </c>
      <c r="B76">
        <v>150</v>
      </c>
      <c r="C76" s="15">
        <f t="shared" si="6"/>
        <v>-1.2124355652982139</v>
      </c>
      <c r="D76" s="15">
        <f t="shared" si="9"/>
        <v>0.4499999999999999</v>
      </c>
      <c r="E76" s="18">
        <f t="shared" si="7"/>
        <v>1.2749999999999999</v>
      </c>
      <c r="F76" s="19">
        <f t="shared" si="8"/>
        <v>0.21650635094610954</v>
      </c>
    </row>
    <row r="77" spans="1:6" x14ac:dyDescent="0.25">
      <c r="A77">
        <f t="shared" si="5"/>
        <v>2.7052603405912108</v>
      </c>
      <c r="B77">
        <v>155</v>
      </c>
      <c r="C77" s="15">
        <f t="shared" si="6"/>
        <v>-1.0724622203665692</v>
      </c>
      <c r="D77" s="15">
        <f t="shared" si="9"/>
        <v>0.3214911512821147</v>
      </c>
      <c r="E77" s="18">
        <f t="shared" si="7"/>
        <v>1.1078488931407009</v>
      </c>
      <c r="F77" s="19">
        <f t="shared" si="8"/>
        <v>0.16187218548353233</v>
      </c>
    </row>
    <row r="78" spans="1:6" x14ac:dyDescent="0.25">
      <c r="A78">
        <f t="shared" si="5"/>
        <v>2.7925268031909272</v>
      </c>
      <c r="B78">
        <v>160</v>
      </c>
      <c r="C78" s="15">
        <f t="shared" si="6"/>
        <v>-0.8999026535611554</v>
      </c>
      <c r="D78" s="15">
        <f t="shared" si="9"/>
        <v>0.21056000119291995</v>
      </c>
      <c r="E78" s="18">
        <f t="shared" si="7"/>
        <v>0.91764764476373095</v>
      </c>
      <c r="F78" s="19">
        <f t="shared" si="8"/>
        <v>0.10992315519647719</v>
      </c>
    </row>
    <row r="79" spans="1:6" x14ac:dyDescent="0.25">
      <c r="A79">
        <f t="shared" si="5"/>
        <v>2.8797932657906435</v>
      </c>
      <c r="B79">
        <v>165</v>
      </c>
      <c r="C79" s="15">
        <f t="shared" si="6"/>
        <v>-0.70000000000000062</v>
      </c>
      <c r="D79" s="15">
        <f t="shared" si="9"/>
        <v>0.12057713659400549</v>
      </c>
      <c r="E79" s="18">
        <f t="shared" si="7"/>
        <v>0.70735573775680516</v>
      </c>
      <c r="F79" s="19">
        <f t="shared" si="8"/>
        <v>6.4704761275630282E-2</v>
      </c>
    </row>
    <row r="80" spans="1:6" x14ac:dyDescent="0.25">
      <c r="A80">
        <f t="shared" si="5"/>
        <v>2.9670597283903604</v>
      </c>
      <c r="B80">
        <v>170</v>
      </c>
      <c r="C80" s="15">
        <f t="shared" si="6"/>
        <v>-0.47882820065593601</v>
      </c>
      <c r="D80" s="15">
        <f t="shared" si="9"/>
        <v>5.4276641292682393E-2</v>
      </c>
      <c r="E80" s="18">
        <f t="shared" si="7"/>
        <v>0.48097876421720698</v>
      </c>
      <c r="F80" s="19">
        <f t="shared" si="8"/>
        <v>2.9695587306942349E-2</v>
      </c>
    </row>
    <row r="81" spans="1:6" x14ac:dyDescent="0.25">
      <c r="A81">
        <f t="shared" si="5"/>
        <v>3.0543261909900763</v>
      </c>
      <c r="B81">
        <v>175</v>
      </c>
      <c r="C81" s="15">
        <f t="shared" si="6"/>
        <v>-0.24310744873370377</v>
      </c>
      <c r="D81" s="15">
        <f t="shared" si="9"/>
        <v>1.3673022289012904E-2</v>
      </c>
      <c r="E81" s="18">
        <f t="shared" si="7"/>
        <v>0.24337403390833076</v>
      </c>
      <c r="F81" s="19">
        <f t="shared" si="8"/>
        <v>7.5672179506693776E-3</v>
      </c>
    </row>
    <row r="82" spans="1:6" x14ac:dyDescent="0.25">
      <c r="A82">
        <f t="shared" si="5"/>
        <v>3.1415926535897931</v>
      </c>
      <c r="B82">
        <v>180</v>
      </c>
      <c r="C82" s="15">
        <f t="shared" si="6"/>
        <v>-3.430415673744136E-16</v>
      </c>
      <c r="D82" s="15">
        <f t="shared" si="9"/>
        <v>0</v>
      </c>
      <c r="E82" s="18">
        <f t="shared" si="7"/>
        <v>3.430415673744136E-16</v>
      </c>
      <c r="F82" s="19">
        <f t="shared" si="8"/>
        <v>4.202768462381941E-32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Sheet1</vt:lpstr>
      <vt:lpstr>Sheet2</vt:lpstr>
      <vt:lpstr>Sheet3</vt:lpstr>
      <vt:lpstr>Sheet4</vt:lpstr>
      <vt:lpstr>Sheet5</vt:lpstr>
      <vt:lpstr>Sheet6</vt:lpstr>
      <vt:lpstr>Coppel</vt:lpstr>
      <vt:lpstr>Sheet3!AeroData</vt:lpstr>
      <vt:lpstr>Coppel!TableData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Buckley</dc:creator>
  <cp:lastModifiedBy>John Buckley</cp:lastModifiedBy>
  <dcterms:created xsi:type="dcterms:W3CDTF">2016-07-10T02:24:29Z</dcterms:created>
  <dcterms:modified xsi:type="dcterms:W3CDTF">2016-07-16T10:06:20Z</dcterms:modified>
</cp:coreProperties>
</file>